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mand Forecast" sheetId="2" state="visible" r:id="rId4"/>
    <sheet name="Supplier Orders" sheetId="3" state="visible" r:id="rId5"/>
    <sheet name="Stock Coverage Dashboard" sheetId="4" state="visible" r:id="rId6"/>
    <sheet name="What-If Scenari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<sst xmlns="http://schemas.openxmlformats.org/spreadsheetml/2006/main" count="227" uniqueCount="93">
  <si>
    <t xml:space="preserve">Inventory Replenishment &amp; Supplier Performance Tracker</t>
  </si>
  <si>
    <t xml:space="preserve">Sample project — demand vs. supply tracking, delivery discrepancy flagging &amp; what-if scenarios</t>
  </si>
  <si>
    <t xml:space="preserve">PURPOSE</t>
  </si>
  <si>
    <t xml:space="preserve">Built to practise a workflow that comes up across procurement, inventory and materials planning</t>
  </si>
  <si>
    <t xml:space="preserve">roles: tracking confirmed supplier order quantities and dates against a demand forecast, flagging</t>
  </si>
  <si>
    <t xml:space="preserve">discrepancies (late or short deliveries), and running what-if scenarios on delays.</t>
  </si>
  <si>
    <t xml:space="preserve">TABS</t>
  </si>
  <si>
    <t xml:space="preserve">1. Demand Forecast      — forecasted sales/replenishment demand by SKU and week.</t>
  </si>
  <si>
    <t xml:space="preserve">2. Supplier Orders      — order-level data: quantities, due dates, actual delivery dates. Status and</t>
  </si>
  <si>
    <t xml:space="preserve">                          delay are calculated automatically, so discrepancies surface without</t>
  </si>
  <si>
    <t xml:space="preserve">                          manually checking each line.</t>
  </si>
  <si>
    <t xml:space="preserve">3. Stock Coverage Dashboard — rolls up demand vs. confirmed supply per SKU, flags items AT RISK.</t>
  </si>
  <si>
    <t xml:space="preserve">4. What-If Scenario     — pick a supplier and a delay (in days) to see the effect on stock</t>
  </si>
  <si>
    <t xml:space="preserve">                          coverage before it happens — supports proactive reordering decisions.</t>
  </si>
  <si>
    <t xml:space="preserve">HOW TO USE</t>
  </si>
  <si>
    <t xml:space="preserve">Cells shaded YELLOW with BLUE text are the only inputs meant to be edited (order data on the</t>
  </si>
  <si>
    <t xml:space="preserve">Supplier Orders tab, and the scenario inputs on the What-If tab). All other cells are formulas</t>
  </si>
  <si>
    <t xml:space="preserve">and will recalculate automatically.</t>
  </si>
  <si>
    <t xml:space="preserve">NOTE ON DATA</t>
  </si>
  <si>
    <t xml:space="preserve">SKU, supplier and order data in this file is illustrative sample data built to demonstrate the</t>
  </si>
  <si>
    <t xml:space="preserve">workflow and formulas — not real business data.</t>
  </si>
  <si>
    <t xml:space="preserve">RELATED PROJECT</t>
  </si>
  <si>
    <t xml:space="preserve">See the companion Supplier Sustainability Scorecard workbook, which scores these same four</t>
  </si>
  <si>
    <t xml:space="preserve">suppliers on emissions, renewable energy use, certification and proximity alongside delivery</t>
  </si>
  <si>
    <t xml:space="preserve">performance.</t>
  </si>
  <si>
    <t xml:space="preserve">Demand Forecast</t>
  </si>
  <si>
    <t xml:space="preserve">Forecasted replenishment demand by SKU and week</t>
  </si>
  <si>
    <t xml:space="preserve">SKU ID</t>
  </si>
  <si>
    <t xml:space="preserve">Product</t>
  </si>
  <si>
    <t xml:space="preserve">Week</t>
  </si>
  <si>
    <t xml:space="preserve">Forecasted Demand (units)</t>
  </si>
  <si>
    <t xml:space="preserve">SKU-A</t>
  </si>
  <si>
    <t xml:space="preserve">Wireless Earbuds</t>
  </si>
  <si>
    <t xml:space="preserve">SKU-B</t>
  </si>
  <si>
    <t xml:space="preserve">Phone Case (Bulk Pack)</t>
  </si>
  <si>
    <t xml:space="preserve">SKU-C</t>
  </si>
  <si>
    <t xml:space="preserve">USB-C Charging Cable</t>
  </si>
  <si>
    <t xml:space="preserve">SKU-D</t>
  </si>
  <si>
    <t xml:space="preserve">Laptop Stand</t>
  </si>
  <si>
    <t xml:space="preserve">Supplier Orders</t>
  </si>
  <si>
    <t xml:space="preserve">Order-level tracking — Status and Delay (days) are calculated automatically</t>
  </si>
  <si>
    <t xml:space="preserve">Order ID</t>
  </si>
  <si>
    <t xml:space="preserve">Supplier</t>
  </si>
  <si>
    <t xml:space="preserve">Order Qty</t>
  </si>
  <si>
    <t xml:space="preserve">Confirmed Qty</t>
  </si>
  <si>
    <t xml:space="preserve">Due Date</t>
  </si>
  <si>
    <t xml:space="preserve">Actual Delivery Date</t>
  </si>
  <si>
    <t xml:space="preserve">Delay (days)</t>
  </si>
  <si>
    <t xml:space="preserve">Status</t>
  </si>
  <si>
    <t xml:space="preserve">PO-1001</t>
  </si>
  <si>
    <t xml:space="preserve">Supplier Alpha</t>
  </si>
  <si>
    <t xml:space="preserve">PO-1002</t>
  </si>
  <si>
    <t xml:space="preserve">PO-1003</t>
  </si>
  <si>
    <t xml:space="preserve">PO-1004</t>
  </si>
  <si>
    <t xml:space="preserve">PO-1005</t>
  </si>
  <si>
    <t xml:space="preserve">PO-1006</t>
  </si>
  <si>
    <t xml:space="preserve">PO-2001</t>
  </si>
  <si>
    <t xml:space="preserve">Supplier Beta</t>
  </si>
  <si>
    <t xml:space="preserve">PO-2002</t>
  </si>
  <si>
    <t xml:space="preserve">PO-2003</t>
  </si>
  <si>
    <t xml:space="preserve">PO-2004</t>
  </si>
  <si>
    <t xml:space="preserve">PO-2005</t>
  </si>
  <si>
    <t xml:space="preserve">PO-2006</t>
  </si>
  <si>
    <t xml:space="preserve">PO-3001</t>
  </si>
  <si>
    <t xml:space="preserve">Supplier Gamma</t>
  </si>
  <si>
    <t xml:space="preserve">PO-3002</t>
  </si>
  <si>
    <t xml:space="preserve">PO-3003</t>
  </si>
  <si>
    <t xml:space="preserve">PO-3004</t>
  </si>
  <si>
    <t xml:space="preserve">PO-3005</t>
  </si>
  <si>
    <t xml:space="preserve">PO-3006</t>
  </si>
  <si>
    <t xml:space="preserve">PO-4001</t>
  </si>
  <si>
    <t xml:space="preserve">Supplier Delta</t>
  </si>
  <si>
    <t xml:space="preserve">PO-4002</t>
  </si>
  <si>
    <t xml:space="preserve">PO-4003</t>
  </si>
  <si>
    <t xml:space="preserve">PO-4004</t>
  </si>
  <si>
    <t xml:space="preserve">PO-4005</t>
  </si>
  <si>
    <t xml:space="preserve">PO-4006</t>
  </si>
  <si>
    <t xml:space="preserve">Stock Coverage Dashboard</t>
  </si>
  <si>
    <t xml:space="preserve">Forecasted demand vs. confirmed supply, by SKU (totals across all weeks / orders)</t>
  </si>
  <si>
    <t xml:space="preserve">Total Forecasted Demand</t>
  </si>
  <si>
    <t xml:space="preserve">Total Confirmed Supply</t>
  </si>
  <si>
    <t xml:space="preserve">Coverage %</t>
  </si>
  <si>
    <t xml:space="preserve">What-If Scenario: Supplier Delay Impact</t>
  </si>
  <si>
    <t xml:space="preserve">Select a supplier and a hypothetical delay to see the effect on material coverage</t>
  </si>
  <si>
    <t xml:space="preserve">Supplier to simulate:</t>
  </si>
  <si>
    <t xml:space="preserve">Simulated delay (days):</t>
  </si>
  <si>
    <t xml:space="preserve">Qty From Selected Supplier</t>
  </si>
  <si>
    <t xml:space="preserve">At-Risk Qty (if delayed)</t>
  </si>
  <si>
    <t xml:space="preserve">Adjusted Supply</t>
  </si>
  <si>
    <t xml:space="preserve">Adjusted Coverage %</t>
  </si>
  <si>
    <t xml:space="preserve">Impact</t>
  </si>
  <si>
    <t xml:space="preserve">Try changing B4 (supplier) and B5 (delay days) to see which items move to AT RISK.</t>
  </si>
  <si>
    <t xml:space="preserve">Assumption: for simplicity, any simulated delay (B5 &gt; 0) treats that supplier's full confirmed quantity for the item as at-risk. A production MRP tool would isolate only the specific late order line(s) rather than the supplier's entire confirmed volume.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</si>
</sst>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5C57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5C57"/>
      <name val="Arial"/>
      <family val="0"/>
      <charset val="1"/>
    </font>
    <font>
      <b val="true"/>
      <sz val="14"/>
      <color rgb="FF1F5C5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5C57"/>
        <bgColor rgb="FF555555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5C57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4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3"/>
    </row>
    <row r="27" customFormat="false" ht="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3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5" t="s">
        <v>25</v>
      </c>
    </row>
    <row r="2" customFormat="false" ht="15" hidden="false" customHeight="false" outlineLevel="0" collapsed="false">
      <c r="A2" s="2" t="s">
        <v>26</v>
      </c>
    </row>
    <row r="4" customFormat="false" ht="26.85" hidden="false" customHeight="false" outlineLevel="0" collapsed="false">
      <c r="A4" s="6" t="s">
        <v>27</v>
      </c>
      <c r="B4" s="6" t="s">
        <v>28</v>
      </c>
      <c r="C4" s="6" t="s">
        <v>29</v>
      </c>
      <c r="D4" s="6" t="s">
        <v>30</v>
      </c>
    </row>
    <row r="5" customFormat="false" ht="15" hidden="false" customHeight="false" outlineLevel="0" collapsed="false">
      <c r="A5" s="7" t="s">
        <v>31</v>
      </c>
      <c r="B5" s="7" t="s">
        <v>32</v>
      </c>
      <c r="C5" s="7" t="n">
        <v>1</v>
      </c>
      <c r="D5" s="7" t="n">
        <v>420</v>
      </c>
    </row>
    <row r="6" customFormat="false" ht="15" hidden="false" customHeight="false" outlineLevel="0" collapsed="false">
      <c r="A6" s="7" t="s">
        <v>31</v>
      </c>
      <c r="B6" s="7" t="s">
        <v>32</v>
      </c>
      <c r="C6" s="7" t="n">
        <v>2</v>
      </c>
      <c r="D6" s="7" t="n">
        <v>420</v>
      </c>
    </row>
    <row r="7" customFormat="false" ht="15" hidden="false" customHeight="false" outlineLevel="0" collapsed="false">
      <c r="A7" s="7" t="s">
        <v>31</v>
      </c>
      <c r="B7" s="7" t="s">
        <v>32</v>
      </c>
      <c r="C7" s="7" t="n">
        <v>3</v>
      </c>
      <c r="D7" s="7" t="n">
        <v>450</v>
      </c>
    </row>
    <row r="8" customFormat="false" ht="15" hidden="false" customHeight="false" outlineLevel="0" collapsed="false">
      <c r="A8" s="7" t="s">
        <v>31</v>
      </c>
      <c r="B8" s="7" t="s">
        <v>32</v>
      </c>
      <c r="C8" s="7" t="n">
        <v>4</v>
      </c>
      <c r="D8" s="7" t="n">
        <v>450</v>
      </c>
    </row>
    <row r="9" customFormat="false" ht="15" hidden="false" customHeight="false" outlineLevel="0" collapsed="false">
      <c r="A9" s="7" t="s">
        <v>31</v>
      </c>
      <c r="B9" s="7" t="s">
        <v>32</v>
      </c>
      <c r="C9" s="7" t="n">
        <v>5</v>
      </c>
      <c r="D9" s="7" t="n">
        <v>480</v>
      </c>
    </row>
    <row r="10" customFormat="false" ht="15" hidden="false" customHeight="false" outlineLevel="0" collapsed="false">
      <c r="A10" s="7" t="s">
        <v>31</v>
      </c>
      <c r="B10" s="7" t="s">
        <v>32</v>
      </c>
      <c r="C10" s="7" t="n">
        <v>6</v>
      </c>
      <c r="D10" s="7" t="n">
        <v>480</v>
      </c>
    </row>
    <row r="11" customFormat="false" ht="15" hidden="false" customHeight="false" outlineLevel="0" collapsed="false">
      <c r="A11" s="7" t="s">
        <v>33</v>
      </c>
      <c r="B11" s="7" t="s">
        <v>34</v>
      </c>
      <c r="C11" s="7" t="n">
        <v>1</v>
      </c>
      <c r="D11" s="7" t="n">
        <v>800</v>
      </c>
    </row>
    <row r="12" customFormat="false" ht="15" hidden="false" customHeight="false" outlineLevel="0" collapsed="false">
      <c r="A12" s="7" t="s">
        <v>33</v>
      </c>
      <c r="B12" s="7" t="s">
        <v>34</v>
      </c>
      <c r="C12" s="7" t="n">
        <v>2</v>
      </c>
      <c r="D12" s="7" t="n">
        <v>800</v>
      </c>
    </row>
    <row r="13" customFormat="false" ht="15" hidden="false" customHeight="false" outlineLevel="0" collapsed="false">
      <c r="A13" s="7" t="s">
        <v>33</v>
      </c>
      <c r="B13" s="7" t="s">
        <v>34</v>
      </c>
      <c r="C13" s="7" t="n">
        <v>3</v>
      </c>
      <c r="D13" s="7" t="n">
        <v>820</v>
      </c>
    </row>
    <row r="14" customFormat="false" ht="15" hidden="false" customHeight="false" outlineLevel="0" collapsed="false">
      <c r="A14" s="7" t="s">
        <v>33</v>
      </c>
      <c r="B14" s="7" t="s">
        <v>34</v>
      </c>
      <c r="C14" s="7" t="n">
        <v>4</v>
      </c>
      <c r="D14" s="7" t="n">
        <v>850</v>
      </c>
    </row>
    <row r="15" customFormat="false" ht="15" hidden="false" customHeight="false" outlineLevel="0" collapsed="false">
      <c r="A15" s="7" t="s">
        <v>33</v>
      </c>
      <c r="B15" s="7" t="s">
        <v>34</v>
      </c>
      <c r="C15" s="7" t="n">
        <v>5</v>
      </c>
      <c r="D15" s="7" t="n">
        <v>850</v>
      </c>
    </row>
    <row r="16" customFormat="false" ht="15" hidden="false" customHeight="false" outlineLevel="0" collapsed="false">
      <c r="A16" s="7" t="s">
        <v>33</v>
      </c>
      <c r="B16" s="7" t="s">
        <v>34</v>
      </c>
      <c r="C16" s="7" t="n">
        <v>6</v>
      </c>
      <c r="D16" s="7" t="n">
        <v>900</v>
      </c>
    </row>
    <row r="17" customFormat="false" ht="15" hidden="false" customHeight="false" outlineLevel="0" collapsed="false">
      <c r="A17" s="7" t="s">
        <v>35</v>
      </c>
      <c r="B17" s="7" t="s">
        <v>36</v>
      </c>
      <c r="C17" s="7" t="n">
        <v>1</v>
      </c>
      <c r="D17" s="7" t="n">
        <v>300</v>
      </c>
    </row>
    <row r="18" customFormat="false" ht="15" hidden="false" customHeight="false" outlineLevel="0" collapsed="false">
      <c r="A18" s="7" t="s">
        <v>35</v>
      </c>
      <c r="B18" s="7" t="s">
        <v>36</v>
      </c>
      <c r="C18" s="7" t="n">
        <v>2</v>
      </c>
      <c r="D18" s="7" t="n">
        <v>300</v>
      </c>
    </row>
    <row r="19" customFormat="false" ht="15" hidden="false" customHeight="false" outlineLevel="0" collapsed="false">
      <c r="A19" s="7" t="s">
        <v>35</v>
      </c>
      <c r="B19" s="7" t="s">
        <v>36</v>
      </c>
      <c r="C19" s="7" t="n">
        <v>3</v>
      </c>
      <c r="D19" s="7" t="n">
        <v>300</v>
      </c>
    </row>
    <row r="20" customFormat="false" ht="15" hidden="false" customHeight="false" outlineLevel="0" collapsed="false">
      <c r="A20" s="7" t="s">
        <v>35</v>
      </c>
      <c r="B20" s="7" t="s">
        <v>36</v>
      </c>
      <c r="C20" s="7" t="n">
        <v>4</v>
      </c>
      <c r="D20" s="7" t="n">
        <v>320</v>
      </c>
    </row>
    <row r="21" customFormat="false" ht="15" hidden="false" customHeight="false" outlineLevel="0" collapsed="false">
      <c r="A21" s="7" t="s">
        <v>35</v>
      </c>
      <c r="B21" s="7" t="s">
        <v>36</v>
      </c>
      <c r="C21" s="7" t="n">
        <v>5</v>
      </c>
      <c r="D21" s="7" t="n">
        <v>320</v>
      </c>
    </row>
    <row r="22" customFormat="false" ht="15" hidden="false" customHeight="false" outlineLevel="0" collapsed="false">
      <c r="A22" s="7" t="s">
        <v>35</v>
      </c>
      <c r="B22" s="7" t="s">
        <v>36</v>
      </c>
      <c r="C22" s="7" t="n">
        <v>6</v>
      </c>
      <c r="D22" s="7" t="n">
        <v>340</v>
      </c>
    </row>
    <row r="23" customFormat="false" ht="15" hidden="false" customHeight="false" outlineLevel="0" collapsed="false">
      <c r="A23" s="7" t="s">
        <v>37</v>
      </c>
      <c r="B23" s="7" t="s">
        <v>38</v>
      </c>
      <c r="C23" s="7" t="n">
        <v>1</v>
      </c>
      <c r="D23" s="7" t="n">
        <v>260</v>
      </c>
    </row>
    <row r="24" customFormat="false" ht="15" hidden="false" customHeight="false" outlineLevel="0" collapsed="false">
      <c r="A24" s="7" t="s">
        <v>37</v>
      </c>
      <c r="B24" s="7" t="s">
        <v>38</v>
      </c>
      <c r="C24" s="7" t="n">
        <v>2</v>
      </c>
      <c r="D24" s="7" t="n">
        <v>260</v>
      </c>
    </row>
    <row r="25" customFormat="false" ht="15" hidden="false" customHeight="false" outlineLevel="0" collapsed="false">
      <c r="A25" s="7" t="s">
        <v>37</v>
      </c>
      <c r="B25" s="7" t="s">
        <v>38</v>
      </c>
      <c r="C25" s="7" t="n">
        <v>3</v>
      </c>
      <c r="D25" s="7" t="n">
        <v>280</v>
      </c>
    </row>
    <row r="26" customFormat="false" ht="15" hidden="false" customHeight="false" outlineLevel="0" collapsed="false">
      <c r="A26" s="7" t="s">
        <v>37</v>
      </c>
      <c r="B26" s="7" t="s">
        <v>38</v>
      </c>
      <c r="C26" s="7" t="n">
        <v>4</v>
      </c>
      <c r="D26" s="7" t="n">
        <v>280</v>
      </c>
    </row>
    <row r="27" customFormat="false" ht="15" hidden="false" customHeight="false" outlineLevel="0" collapsed="false">
      <c r="A27" s="7" t="s">
        <v>37</v>
      </c>
      <c r="B27" s="7" t="s">
        <v>38</v>
      </c>
      <c r="C27" s="7" t="n">
        <v>5</v>
      </c>
      <c r="D27" s="7" t="n">
        <v>300</v>
      </c>
    </row>
    <row r="28" customFormat="false" ht="15" hidden="false" customHeight="false" outlineLevel="0" collapsed="false">
      <c r="A28" s="7" t="s">
        <v>37</v>
      </c>
      <c r="B28" s="7" t="s">
        <v>38</v>
      </c>
      <c r="C28" s="7" t="n">
        <v>6</v>
      </c>
      <c r="D28" s="7" t="n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8"/>
  </cols>
  <sheetData>
    <row r="1" customFormat="false" ht="17.35" hidden="false" customHeight="false" outlineLevel="0" collapsed="false">
      <c r="A1" s="5" t="s">
        <v>39</v>
      </c>
    </row>
    <row r="2" customFormat="false" ht="15" hidden="false" customHeight="false" outlineLevel="0" collapsed="false">
      <c r="A2" s="2" t="s">
        <v>40</v>
      </c>
    </row>
    <row r="4" customFormat="false" ht="26.85" hidden="false" customHeight="false" outlineLevel="0" collapsed="false">
      <c r="A4" s="6" t="s">
        <v>41</v>
      </c>
      <c r="B4" s="6" t="s">
        <v>42</v>
      </c>
      <c r="C4" s="6" t="s">
        <v>27</v>
      </c>
      <c r="D4" s="6" t="s">
        <v>28</v>
      </c>
      <c r="E4" s="6" t="s">
        <v>43</v>
      </c>
      <c r="F4" s="6" t="s">
        <v>44</v>
      </c>
      <c r="G4" s="6" t="s">
        <v>45</v>
      </c>
      <c r="H4" s="6" t="s">
        <v>46</v>
      </c>
      <c r="I4" s="6" t="s">
        <v>47</v>
      </c>
      <c r="J4" s="6" t="s">
        <v>48</v>
      </c>
    </row>
    <row r="5" customFormat="false" ht="15" hidden="false" customHeight="false" outlineLevel="0" collapsed="false">
      <c r="A5" s="7" t="s">
        <v>49</v>
      </c>
      <c r="B5" s="8" t="s">
        <v>50</v>
      </c>
      <c r="C5" s="7" t="s">
        <v>31</v>
      </c>
      <c r="D5" s="8" t="s">
        <v>32</v>
      </c>
      <c r="E5" s="7" t="n">
        <v>420</v>
      </c>
      <c r="F5" s="9" t="n">
        <v>420</v>
      </c>
      <c r="G5" s="10" t="n">
        <v>46300</v>
      </c>
      <c r="H5" s="10" t="n">
        <v>46299</v>
      </c>
      <c r="I5" s="7" t="n">
        <f aca="false">IF(H5="","",H5-G5)</f>
        <v>-1</v>
      </c>
      <c r="J5" s="7" t="str">
        <f aca="false">IF(H5="","Pending",IF(AND(H5&gt;G5,F5&lt;E5),"Late &amp; Short",IF(H5&gt;G5,"Late",IF(F5&lt;E5,"On Time but Short","On Time"))))</f>
        <v>On Time</v>
      </c>
    </row>
    <row r="6" customFormat="false" ht="15" hidden="false" customHeight="false" outlineLevel="0" collapsed="false">
      <c r="A6" s="7" t="s">
        <v>51</v>
      </c>
      <c r="B6" s="8" t="s">
        <v>50</v>
      </c>
      <c r="C6" s="7" t="s">
        <v>31</v>
      </c>
      <c r="D6" s="8" t="s">
        <v>32</v>
      </c>
      <c r="E6" s="7" t="n">
        <v>420</v>
      </c>
      <c r="F6" s="9" t="n">
        <v>420</v>
      </c>
      <c r="G6" s="10" t="n">
        <v>46307</v>
      </c>
      <c r="H6" s="10" t="n">
        <v>46307</v>
      </c>
      <c r="I6" s="7" t="n">
        <f aca="false">IF(H6="","",H6-G6)</f>
        <v>0</v>
      </c>
      <c r="J6" s="7" t="str">
        <f aca="false">IF(H6="","Pending",IF(AND(H6&gt;G6,F6&lt;E6),"Late &amp; Short",IF(H6&gt;G6,"Late",IF(F6&lt;E6,"On Time but Short","On Time"))))</f>
        <v>On Time</v>
      </c>
    </row>
    <row r="7" customFormat="false" ht="15" hidden="false" customHeight="false" outlineLevel="0" collapsed="false">
      <c r="A7" s="7" t="s">
        <v>52</v>
      </c>
      <c r="B7" s="8" t="s">
        <v>50</v>
      </c>
      <c r="C7" s="7" t="s">
        <v>31</v>
      </c>
      <c r="D7" s="8" t="s">
        <v>32</v>
      </c>
      <c r="E7" s="7" t="n">
        <v>450</v>
      </c>
      <c r="F7" s="9" t="n">
        <v>400</v>
      </c>
      <c r="G7" s="10" t="n">
        <v>46314</v>
      </c>
      <c r="H7" s="10" t="n">
        <v>46314</v>
      </c>
      <c r="I7" s="7" t="n">
        <f aca="false">IF(H7="","",H7-G7)</f>
        <v>0</v>
      </c>
      <c r="J7" s="7" t="str">
        <f aca="false">IF(H7="","Pending",IF(AND(H7&gt;G7,F7&lt;E7),"Late &amp; Short",IF(H7&gt;G7,"Late",IF(F7&lt;E7,"On Time but Short","On Time"))))</f>
        <v>On Time but Short</v>
      </c>
    </row>
    <row r="8" customFormat="false" ht="15" hidden="false" customHeight="false" outlineLevel="0" collapsed="false">
      <c r="A8" s="7" t="s">
        <v>53</v>
      </c>
      <c r="B8" s="8" t="s">
        <v>50</v>
      </c>
      <c r="C8" s="7" t="s">
        <v>31</v>
      </c>
      <c r="D8" s="8" t="s">
        <v>32</v>
      </c>
      <c r="E8" s="7" t="n">
        <v>450</v>
      </c>
      <c r="F8" s="9" t="n">
        <v>450</v>
      </c>
      <c r="G8" s="10" t="n">
        <v>46321</v>
      </c>
      <c r="H8" s="10" t="n">
        <v>46322</v>
      </c>
      <c r="I8" s="7" t="n">
        <f aca="false">IF(H8="","",H8-G8)</f>
        <v>1</v>
      </c>
      <c r="J8" s="7" t="str">
        <f aca="false">IF(H8="","Pending",IF(AND(H8&gt;G8,F8&lt;E8),"Late &amp; Short",IF(H8&gt;G8,"Late",IF(F8&lt;E8,"On Time but Short","On Time"))))</f>
        <v>Late</v>
      </c>
    </row>
    <row r="9" customFormat="false" ht="15" hidden="false" customHeight="false" outlineLevel="0" collapsed="false">
      <c r="A9" s="7" t="s">
        <v>54</v>
      </c>
      <c r="B9" s="8" t="s">
        <v>50</v>
      </c>
      <c r="C9" s="7" t="s">
        <v>31</v>
      </c>
      <c r="D9" s="8" t="s">
        <v>32</v>
      </c>
      <c r="E9" s="7" t="n">
        <v>480</v>
      </c>
      <c r="F9" s="9" t="n">
        <v>480</v>
      </c>
      <c r="G9" s="10" t="n">
        <v>46328</v>
      </c>
      <c r="H9" s="10" t="n">
        <v>46327</v>
      </c>
      <c r="I9" s="7" t="n">
        <f aca="false">IF(H9="","",H9-G9)</f>
        <v>-1</v>
      </c>
      <c r="J9" s="7" t="str">
        <f aca="false">IF(H9="","Pending",IF(AND(H9&gt;G9,F9&lt;E9),"Late &amp; Short",IF(H9&gt;G9,"Late",IF(F9&lt;E9,"On Time but Short","On Time"))))</f>
        <v>On Time</v>
      </c>
    </row>
    <row r="10" customFormat="false" ht="15" hidden="false" customHeight="false" outlineLevel="0" collapsed="false">
      <c r="A10" s="7" t="s">
        <v>55</v>
      </c>
      <c r="B10" s="8" t="s">
        <v>50</v>
      </c>
      <c r="C10" s="7" t="s">
        <v>31</v>
      </c>
      <c r="D10" s="8" t="s">
        <v>32</v>
      </c>
      <c r="E10" s="7" t="n">
        <v>480</v>
      </c>
      <c r="F10" s="9" t="n">
        <v>480</v>
      </c>
      <c r="G10" s="10" t="n">
        <v>46335</v>
      </c>
      <c r="H10" s="10"/>
      <c r="I10" s="7" t="str">
        <f aca="false">IF(H10="","",H10-G10)</f>
        <v/>
      </c>
      <c r="J10" s="7" t="str">
        <f aca="false">IF(H10="","Pending",IF(AND(H10&gt;G10,F10&lt;E10),"Late &amp; Short",IF(H10&gt;G10,"Late",IF(F10&lt;E10,"On Time but Short","On Time"))))</f>
        <v>Pending</v>
      </c>
    </row>
    <row r="11" customFormat="false" ht="15" hidden="false" customHeight="false" outlineLevel="0" collapsed="false">
      <c r="A11" s="7" t="s">
        <v>56</v>
      </c>
      <c r="B11" s="8" t="s">
        <v>57</v>
      </c>
      <c r="C11" s="7" t="s">
        <v>33</v>
      </c>
      <c r="D11" s="8" t="s">
        <v>34</v>
      </c>
      <c r="E11" s="7" t="n">
        <v>800</v>
      </c>
      <c r="F11" s="9" t="n">
        <v>800</v>
      </c>
      <c r="G11" s="10" t="n">
        <v>46300</v>
      </c>
      <c r="H11" s="10" t="n">
        <v>46300</v>
      </c>
      <c r="I11" s="7" t="n">
        <f aca="false">IF(H11="","",H11-G11)</f>
        <v>0</v>
      </c>
      <c r="J11" s="7" t="str">
        <f aca="false">IF(H11="","Pending",IF(AND(H11&gt;G11,F11&lt;E11),"Late &amp; Short",IF(H11&gt;G11,"Late",IF(F11&lt;E11,"On Time but Short","On Time"))))</f>
        <v>On Time</v>
      </c>
    </row>
    <row r="12" customFormat="false" ht="15" hidden="false" customHeight="false" outlineLevel="0" collapsed="false">
      <c r="A12" s="7" t="s">
        <v>58</v>
      </c>
      <c r="B12" s="8" t="s">
        <v>57</v>
      </c>
      <c r="C12" s="7" t="s">
        <v>33</v>
      </c>
      <c r="D12" s="8" t="s">
        <v>34</v>
      </c>
      <c r="E12" s="7" t="n">
        <v>800</v>
      </c>
      <c r="F12" s="9" t="n">
        <v>800</v>
      </c>
      <c r="G12" s="10" t="n">
        <v>46307</v>
      </c>
      <c r="H12" s="10" t="n">
        <v>46307</v>
      </c>
      <c r="I12" s="7" t="n">
        <f aca="false">IF(H12="","",H12-G12)</f>
        <v>0</v>
      </c>
      <c r="J12" s="7" t="str">
        <f aca="false">IF(H12="","Pending",IF(AND(H12&gt;G12,F12&lt;E12),"Late &amp; Short",IF(H12&gt;G12,"Late",IF(F12&lt;E12,"On Time but Short","On Time"))))</f>
        <v>On Time</v>
      </c>
    </row>
    <row r="13" customFormat="false" ht="15" hidden="false" customHeight="false" outlineLevel="0" collapsed="false">
      <c r="A13" s="7" t="s">
        <v>59</v>
      </c>
      <c r="B13" s="8" t="s">
        <v>57</v>
      </c>
      <c r="C13" s="7" t="s">
        <v>33</v>
      </c>
      <c r="D13" s="8" t="s">
        <v>34</v>
      </c>
      <c r="E13" s="7" t="n">
        <v>820</v>
      </c>
      <c r="F13" s="9" t="n">
        <v>820</v>
      </c>
      <c r="G13" s="10" t="n">
        <v>46314</v>
      </c>
      <c r="H13" s="10" t="n">
        <v>46314</v>
      </c>
      <c r="I13" s="7" t="n">
        <f aca="false">IF(H13="","",H13-G13)</f>
        <v>0</v>
      </c>
      <c r="J13" s="7" t="str">
        <f aca="false">IF(H13="","Pending",IF(AND(H13&gt;G13,F13&lt;E13),"Late &amp; Short",IF(H13&gt;G13,"Late",IF(F13&lt;E13,"On Time but Short","On Time"))))</f>
        <v>On Time</v>
      </c>
    </row>
    <row r="14" customFormat="false" ht="15" hidden="false" customHeight="false" outlineLevel="0" collapsed="false">
      <c r="A14" s="7" t="s">
        <v>60</v>
      </c>
      <c r="B14" s="8" t="s">
        <v>57</v>
      </c>
      <c r="C14" s="7" t="s">
        <v>33</v>
      </c>
      <c r="D14" s="8" t="s">
        <v>34</v>
      </c>
      <c r="E14" s="7" t="n">
        <v>850</v>
      </c>
      <c r="F14" s="9" t="n">
        <v>850</v>
      </c>
      <c r="G14" s="10" t="n">
        <v>46321</v>
      </c>
      <c r="H14" s="10" t="n">
        <v>46324</v>
      </c>
      <c r="I14" s="7" t="n">
        <f aca="false">IF(H14="","",H14-G14)</f>
        <v>3</v>
      </c>
      <c r="J14" s="7" t="str">
        <f aca="false">IF(H14="","Pending",IF(AND(H14&gt;G14,F14&lt;E14),"Late &amp; Short",IF(H14&gt;G14,"Late",IF(F14&lt;E14,"On Time but Short","On Time"))))</f>
        <v>Late</v>
      </c>
    </row>
    <row r="15" customFormat="false" ht="15" hidden="false" customHeight="false" outlineLevel="0" collapsed="false">
      <c r="A15" s="7" t="s">
        <v>61</v>
      </c>
      <c r="B15" s="8" t="s">
        <v>57</v>
      </c>
      <c r="C15" s="7" t="s">
        <v>33</v>
      </c>
      <c r="D15" s="8" t="s">
        <v>34</v>
      </c>
      <c r="E15" s="7" t="n">
        <v>850</v>
      </c>
      <c r="F15" s="9" t="n">
        <v>850</v>
      </c>
      <c r="G15" s="10" t="n">
        <v>46328</v>
      </c>
      <c r="H15" s="10" t="n">
        <v>46328</v>
      </c>
      <c r="I15" s="7" t="n">
        <f aca="false">IF(H15="","",H15-G15)</f>
        <v>0</v>
      </c>
      <c r="J15" s="7" t="str">
        <f aca="false">IF(H15="","Pending",IF(AND(H15&gt;G15,F15&lt;E15),"Late &amp; Short",IF(H15&gt;G15,"Late",IF(F15&lt;E15,"On Time but Short","On Time"))))</f>
        <v>On Time</v>
      </c>
    </row>
    <row r="16" customFormat="false" ht="15" hidden="false" customHeight="false" outlineLevel="0" collapsed="false">
      <c r="A16" s="7" t="s">
        <v>62</v>
      </c>
      <c r="B16" s="8" t="s">
        <v>57</v>
      </c>
      <c r="C16" s="7" t="s">
        <v>33</v>
      </c>
      <c r="D16" s="8" t="s">
        <v>34</v>
      </c>
      <c r="E16" s="7" t="n">
        <v>900</v>
      </c>
      <c r="F16" s="9" t="n">
        <v>900</v>
      </c>
      <c r="G16" s="10" t="n">
        <v>46335</v>
      </c>
      <c r="H16" s="10"/>
      <c r="I16" s="7" t="str">
        <f aca="false">IF(H16="","",H16-G16)</f>
        <v/>
      </c>
      <c r="J16" s="7" t="str">
        <f aca="false">IF(H16="","Pending",IF(AND(H16&gt;G16,F16&lt;E16),"Late &amp; Short",IF(H16&gt;G16,"Late",IF(F16&lt;E16,"On Time but Short","On Time"))))</f>
        <v>Pending</v>
      </c>
    </row>
    <row r="17" customFormat="false" ht="15" hidden="false" customHeight="false" outlineLevel="0" collapsed="false">
      <c r="A17" s="7" t="s">
        <v>63</v>
      </c>
      <c r="B17" s="8" t="s">
        <v>64</v>
      </c>
      <c r="C17" s="7" t="s">
        <v>35</v>
      </c>
      <c r="D17" s="8" t="s">
        <v>36</v>
      </c>
      <c r="E17" s="7" t="n">
        <v>300</v>
      </c>
      <c r="F17" s="9" t="n">
        <v>300</v>
      </c>
      <c r="G17" s="10" t="n">
        <v>46300</v>
      </c>
      <c r="H17" s="10" t="n">
        <v>46300</v>
      </c>
      <c r="I17" s="7" t="n">
        <f aca="false">IF(H17="","",H17-G17)</f>
        <v>0</v>
      </c>
      <c r="J17" s="7" t="str">
        <f aca="false">IF(H17="","Pending",IF(AND(H17&gt;G17,F17&lt;E17),"Late &amp; Short",IF(H17&gt;G17,"Late",IF(F17&lt;E17,"On Time but Short","On Time"))))</f>
        <v>On Time</v>
      </c>
    </row>
    <row r="18" customFormat="false" ht="15" hidden="false" customHeight="false" outlineLevel="0" collapsed="false">
      <c r="A18" s="7" t="s">
        <v>65</v>
      </c>
      <c r="B18" s="8" t="s">
        <v>64</v>
      </c>
      <c r="C18" s="7" t="s">
        <v>35</v>
      </c>
      <c r="D18" s="8" t="s">
        <v>36</v>
      </c>
      <c r="E18" s="7" t="n">
        <v>300</v>
      </c>
      <c r="F18" s="9" t="n">
        <v>280</v>
      </c>
      <c r="G18" s="10" t="n">
        <v>46307</v>
      </c>
      <c r="H18" s="10" t="n">
        <v>46309</v>
      </c>
      <c r="I18" s="7" t="n">
        <f aca="false">IF(H18="","",H18-G18)</f>
        <v>2</v>
      </c>
      <c r="J18" s="7" t="str">
        <f aca="false">IF(H18="","Pending",IF(AND(H18&gt;G18,F18&lt;E18),"Late &amp; Short",IF(H18&gt;G18,"Late",IF(F18&lt;E18,"On Time but Short","On Time"))))</f>
        <v>Late &amp; Short</v>
      </c>
    </row>
    <row r="19" customFormat="false" ht="15" hidden="false" customHeight="false" outlineLevel="0" collapsed="false">
      <c r="A19" s="7" t="s">
        <v>66</v>
      </c>
      <c r="B19" s="8" t="s">
        <v>64</v>
      </c>
      <c r="C19" s="7" t="s">
        <v>35</v>
      </c>
      <c r="D19" s="8" t="s">
        <v>36</v>
      </c>
      <c r="E19" s="7" t="n">
        <v>300</v>
      </c>
      <c r="F19" s="9" t="n">
        <v>300</v>
      </c>
      <c r="G19" s="10" t="n">
        <v>46314</v>
      </c>
      <c r="H19" s="10" t="n">
        <v>46314</v>
      </c>
      <c r="I19" s="7" t="n">
        <f aca="false">IF(H19="","",H19-G19)</f>
        <v>0</v>
      </c>
      <c r="J19" s="7" t="str">
        <f aca="false">IF(H19="","Pending",IF(AND(H19&gt;G19,F19&lt;E19),"Late &amp; Short",IF(H19&gt;G19,"Late",IF(F19&lt;E19,"On Time but Short","On Time"))))</f>
        <v>On Time</v>
      </c>
    </row>
    <row r="20" customFormat="false" ht="15" hidden="false" customHeight="false" outlineLevel="0" collapsed="false">
      <c r="A20" s="7" t="s">
        <v>67</v>
      </c>
      <c r="B20" s="8" t="s">
        <v>64</v>
      </c>
      <c r="C20" s="7" t="s">
        <v>35</v>
      </c>
      <c r="D20" s="8" t="s">
        <v>36</v>
      </c>
      <c r="E20" s="7" t="n">
        <v>320</v>
      </c>
      <c r="F20" s="9" t="n">
        <v>320</v>
      </c>
      <c r="G20" s="10" t="n">
        <v>46321</v>
      </c>
      <c r="H20" s="10" t="n">
        <v>46323</v>
      </c>
      <c r="I20" s="7" t="n">
        <f aca="false">IF(H20="","",H20-G20)</f>
        <v>2</v>
      </c>
      <c r="J20" s="7" t="str">
        <f aca="false">IF(H20="","Pending",IF(AND(H20&gt;G20,F20&lt;E20),"Late &amp; Short",IF(H20&gt;G20,"Late",IF(F20&lt;E20,"On Time but Short","On Time"))))</f>
        <v>Late</v>
      </c>
    </row>
    <row r="21" customFormat="false" ht="15" hidden="false" customHeight="false" outlineLevel="0" collapsed="false">
      <c r="A21" s="7" t="s">
        <v>68</v>
      </c>
      <c r="B21" s="8" t="s">
        <v>64</v>
      </c>
      <c r="C21" s="7" t="s">
        <v>35</v>
      </c>
      <c r="D21" s="8" t="s">
        <v>36</v>
      </c>
      <c r="E21" s="7" t="n">
        <v>320</v>
      </c>
      <c r="F21" s="9" t="n">
        <v>320</v>
      </c>
      <c r="G21" s="10" t="n">
        <v>46328</v>
      </c>
      <c r="H21" s="10" t="n">
        <v>46327</v>
      </c>
      <c r="I21" s="7" t="n">
        <f aca="false">IF(H21="","",H21-G21)</f>
        <v>-1</v>
      </c>
      <c r="J21" s="7" t="str">
        <f aca="false">IF(H21="","Pending",IF(AND(H21&gt;G21,F21&lt;E21),"Late &amp; Short",IF(H21&gt;G21,"Late",IF(F21&lt;E21,"On Time but Short","On Time"))))</f>
        <v>On Time</v>
      </c>
    </row>
    <row r="22" customFormat="false" ht="15" hidden="false" customHeight="false" outlineLevel="0" collapsed="false">
      <c r="A22" s="7" t="s">
        <v>69</v>
      </c>
      <c r="B22" s="8" t="s">
        <v>64</v>
      </c>
      <c r="C22" s="7" t="s">
        <v>35</v>
      </c>
      <c r="D22" s="8" t="s">
        <v>36</v>
      </c>
      <c r="E22" s="7" t="n">
        <v>340</v>
      </c>
      <c r="F22" s="9" t="n">
        <v>340</v>
      </c>
      <c r="G22" s="10" t="n">
        <v>46335</v>
      </c>
      <c r="H22" s="10"/>
      <c r="I22" s="7" t="str">
        <f aca="false">IF(H22="","",H22-G22)</f>
        <v/>
      </c>
      <c r="J22" s="7" t="str">
        <f aca="false">IF(H22="","Pending",IF(AND(H22&gt;G22,F22&lt;E22),"Late &amp; Short",IF(H22&gt;G22,"Late",IF(F22&lt;E22,"On Time but Short","On Time"))))</f>
        <v>Pending</v>
      </c>
    </row>
    <row r="23" customFormat="false" ht="15" hidden="false" customHeight="false" outlineLevel="0" collapsed="false">
      <c r="A23" s="7" t="s">
        <v>70</v>
      </c>
      <c r="B23" s="8" t="s">
        <v>71</v>
      </c>
      <c r="C23" s="7" t="s">
        <v>37</v>
      </c>
      <c r="D23" s="8" t="s">
        <v>38</v>
      </c>
      <c r="E23" s="7" t="n">
        <v>260</v>
      </c>
      <c r="F23" s="9" t="n">
        <v>260</v>
      </c>
      <c r="G23" s="10" t="n">
        <v>46300</v>
      </c>
      <c r="H23" s="10" t="n">
        <v>46300</v>
      </c>
      <c r="I23" s="7" t="n">
        <f aca="false">IF(H23="","",H23-G23)</f>
        <v>0</v>
      </c>
      <c r="J23" s="7" t="str">
        <f aca="false">IF(H23="","Pending",IF(AND(H23&gt;G23,F23&lt;E23),"Late &amp; Short",IF(H23&gt;G23,"Late",IF(F23&lt;E23,"On Time but Short","On Time"))))</f>
        <v>On Time</v>
      </c>
    </row>
    <row r="24" customFormat="false" ht="15" hidden="false" customHeight="false" outlineLevel="0" collapsed="false">
      <c r="A24" s="7" t="s">
        <v>72</v>
      </c>
      <c r="B24" s="8" t="s">
        <v>71</v>
      </c>
      <c r="C24" s="7" t="s">
        <v>37</v>
      </c>
      <c r="D24" s="8" t="s">
        <v>38</v>
      </c>
      <c r="E24" s="7" t="n">
        <v>260</v>
      </c>
      <c r="F24" s="9" t="n">
        <v>260</v>
      </c>
      <c r="G24" s="10" t="n">
        <v>46307</v>
      </c>
      <c r="H24" s="10" t="n">
        <v>46306</v>
      </c>
      <c r="I24" s="7" t="n">
        <f aca="false">IF(H24="","",H24-G24)</f>
        <v>-1</v>
      </c>
      <c r="J24" s="7" t="str">
        <f aca="false">IF(H24="","Pending",IF(AND(H24&gt;G24,F24&lt;E24),"Late &amp; Short",IF(H24&gt;G24,"Late",IF(F24&lt;E24,"On Time but Short","On Time"))))</f>
        <v>On Time</v>
      </c>
    </row>
    <row r="25" customFormat="false" ht="15" hidden="false" customHeight="false" outlineLevel="0" collapsed="false">
      <c r="A25" s="7" t="s">
        <v>73</v>
      </c>
      <c r="B25" s="8" t="s">
        <v>71</v>
      </c>
      <c r="C25" s="7" t="s">
        <v>37</v>
      </c>
      <c r="D25" s="8" t="s">
        <v>38</v>
      </c>
      <c r="E25" s="7" t="n">
        <v>280</v>
      </c>
      <c r="F25" s="9" t="n">
        <v>280</v>
      </c>
      <c r="G25" s="10" t="n">
        <v>46314</v>
      </c>
      <c r="H25" s="10" t="n">
        <v>46318</v>
      </c>
      <c r="I25" s="7" t="n">
        <f aca="false">IF(H25="","",H25-G25)</f>
        <v>4</v>
      </c>
      <c r="J25" s="7" t="str">
        <f aca="false">IF(H25="","Pending",IF(AND(H25&gt;G25,F25&lt;E25),"Late &amp; Short",IF(H25&gt;G25,"Late",IF(F25&lt;E25,"On Time but Short","On Time"))))</f>
        <v>Late</v>
      </c>
    </row>
    <row r="26" customFormat="false" ht="15" hidden="false" customHeight="false" outlineLevel="0" collapsed="false">
      <c r="A26" s="7" t="s">
        <v>74</v>
      </c>
      <c r="B26" s="8" t="s">
        <v>71</v>
      </c>
      <c r="C26" s="7" t="s">
        <v>37</v>
      </c>
      <c r="D26" s="8" t="s">
        <v>38</v>
      </c>
      <c r="E26" s="7" t="n">
        <v>280</v>
      </c>
      <c r="F26" s="9" t="n">
        <v>280</v>
      </c>
      <c r="G26" s="10" t="n">
        <v>46321</v>
      </c>
      <c r="H26" s="10" t="n">
        <v>46321</v>
      </c>
      <c r="I26" s="7" t="n">
        <f aca="false">IF(H26="","",H26-G26)</f>
        <v>0</v>
      </c>
      <c r="J26" s="7" t="str">
        <f aca="false">IF(H26="","Pending",IF(AND(H26&gt;G26,F26&lt;E26),"Late &amp; Short",IF(H26&gt;G26,"Late",IF(F26&lt;E26,"On Time but Short","On Time"))))</f>
        <v>On Time</v>
      </c>
    </row>
    <row r="27" customFormat="false" ht="15" hidden="false" customHeight="false" outlineLevel="0" collapsed="false">
      <c r="A27" s="7" t="s">
        <v>75</v>
      </c>
      <c r="B27" s="8" t="s">
        <v>71</v>
      </c>
      <c r="C27" s="7" t="s">
        <v>37</v>
      </c>
      <c r="D27" s="8" t="s">
        <v>38</v>
      </c>
      <c r="E27" s="7" t="n">
        <v>300</v>
      </c>
      <c r="F27" s="9" t="n">
        <v>300</v>
      </c>
      <c r="G27" s="10" t="n">
        <v>46328</v>
      </c>
      <c r="H27" s="10" t="n">
        <v>46328</v>
      </c>
      <c r="I27" s="7" t="n">
        <f aca="false">IF(H27="","",H27-G27)</f>
        <v>0</v>
      </c>
      <c r="J27" s="7" t="str">
        <f aca="false">IF(H27="","Pending",IF(AND(H27&gt;G27,F27&lt;E27),"Late &amp; Short",IF(H27&gt;G27,"Late",IF(F27&lt;E27,"On Time but Short","On Time"))))</f>
        <v>On Time</v>
      </c>
    </row>
    <row r="28" customFormat="false" ht="15" hidden="false" customHeight="false" outlineLevel="0" collapsed="false">
      <c r="A28" s="7" t="s">
        <v>76</v>
      </c>
      <c r="B28" s="8" t="s">
        <v>71</v>
      </c>
      <c r="C28" s="7" t="s">
        <v>37</v>
      </c>
      <c r="D28" s="8" t="s">
        <v>38</v>
      </c>
      <c r="E28" s="7" t="n">
        <v>300</v>
      </c>
      <c r="F28" s="9" t="n">
        <v>300</v>
      </c>
      <c r="G28" s="10" t="n">
        <v>46335</v>
      </c>
      <c r="H28" s="10"/>
      <c r="I28" s="7" t="str">
        <f aca="false">IF(H28="","",H28-G28)</f>
        <v/>
      </c>
      <c r="J28" s="7" t="str">
        <f aca="false">IF(H28="","Pending",IF(AND(H28&gt;G28,F28&lt;E28),"Late &amp; Short",IF(H28&gt;G28,"Late",IF(F28&lt;E28,"On Time but Short","On Time"))))</f>
        <v>Pending</v>
      </c>
    </row>
  </sheetData>
  <conditionalFormatting sqref="J5:J28">
    <cfRule type="expression" priority="2" aboveAverage="0" equalAverage="0" bottom="0" percent="0" rank="0" text="" dxfId="0">
      <formula>OR(J5="Late",J5="Late &amp; Short",J5="On Time but Short")</formula>
    </cfRule>
    <cfRule type="expression" priority="3" aboveAverage="0" equalAverage="0" bottom="0" percent="0" rank="0" text="" dxfId="1">
      <formula>J5="On Time"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4" min="3" style="0" width="20"/>
    <col collapsed="false" customWidth="true" hidden="false" outlineLevel="0" max="6" min="5" style="0" width="12"/>
  </cols>
  <sheetData>
    <row r="1" customFormat="false" ht="17.35" hidden="false" customHeight="false" outlineLevel="0" collapsed="false">
      <c r="A1" s="5" t="s">
        <v>77</v>
      </c>
    </row>
    <row r="2" customFormat="false" ht="15" hidden="false" customHeight="false" outlineLevel="0" collapsed="false">
      <c r="A2" s="2" t="s">
        <v>78</v>
      </c>
    </row>
    <row r="4" customFormat="false" ht="26.85" hidden="false" customHeight="false" outlineLevel="0" collapsed="false">
      <c r="A4" s="6" t="s">
        <v>27</v>
      </c>
      <c r="B4" s="6" t="s">
        <v>28</v>
      </c>
      <c r="C4" s="6" t="s">
        <v>79</v>
      </c>
      <c r="D4" s="6" t="s">
        <v>80</v>
      </c>
      <c r="E4" s="6" t="s">
        <v>81</v>
      </c>
      <c r="F4" s="6" t="s">
        <v>48</v>
      </c>
    </row>
    <row r="5" customFormat="false" ht="15" hidden="false" customHeight="false" outlineLevel="0" collapsed="false">
      <c r="A5" s="7" t="s">
        <v>31</v>
      </c>
      <c r="B5" s="7" t="s">
        <v>32</v>
      </c>
      <c r="C5" s="7" t="n">
        <f aca="false">SUMIFS('Demand Forecast'!$D$5:$D$28,'Demand Forecast'!$A$5:$A$28,A5)</f>
        <v>2700</v>
      </c>
      <c r="D5" s="7" t="n">
        <f aca="false">SUMIFS('Supplier Orders'!$F$5:$F$28,'Supplier Orders'!$C$5:$C$28,A5)</f>
        <v>2650</v>
      </c>
      <c r="E5" s="11" t="n">
        <f aca="false">IFERROR(D5/C5,0)</f>
        <v>0.981481481481482</v>
      </c>
      <c r="F5" s="12" t="str">
        <f aca="false">IF(E5&lt;1,"AT RISK","OK")</f>
        <v>AT RISK</v>
      </c>
    </row>
    <row r="6" customFormat="false" ht="15" hidden="false" customHeight="false" outlineLevel="0" collapsed="false">
      <c r="A6" s="7" t="s">
        <v>33</v>
      </c>
      <c r="B6" s="7" t="s">
        <v>34</v>
      </c>
      <c r="C6" s="7" t="n">
        <f aca="false">SUMIFS('Demand Forecast'!$D$5:$D$28,'Demand Forecast'!$A$5:$A$28,A6)</f>
        <v>5020</v>
      </c>
      <c r="D6" s="7" t="n">
        <f aca="false">SUMIFS('Supplier Orders'!$F$5:$F$28,'Supplier Orders'!$C$5:$C$28,A6)</f>
        <v>5020</v>
      </c>
      <c r="E6" s="11" t="n">
        <f aca="false">IFERROR(D6/C6,0)</f>
        <v>1</v>
      </c>
      <c r="F6" s="12" t="str">
        <f aca="false">IF(E6&lt;1,"AT RISK","OK")</f>
        <v>OK</v>
      </c>
    </row>
    <row r="7" customFormat="false" ht="15" hidden="false" customHeight="false" outlineLevel="0" collapsed="false">
      <c r="A7" s="7" t="s">
        <v>35</v>
      </c>
      <c r="B7" s="7" t="s">
        <v>36</v>
      </c>
      <c r="C7" s="7" t="n">
        <f aca="false">SUMIFS('Demand Forecast'!$D$5:$D$28,'Demand Forecast'!$A$5:$A$28,A7)</f>
        <v>1880</v>
      </c>
      <c r="D7" s="7" t="n">
        <f aca="false">SUMIFS('Supplier Orders'!$F$5:$F$28,'Supplier Orders'!$C$5:$C$28,A7)</f>
        <v>1860</v>
      </c>
      <c r="E7" s="11" t="n">
        <f aca="false">IFERROR(D7/C7,0)</f>
        <v>0.98936170212766</v>
      </c>
      <c r="F7" s="12" t="str">
        <f aca="false">IF(E7&lt;1,"AT RISK","OK")</f>
        <v>AT RISK</v>
      </c>
    </row>
    <row r="8" customFormat="false" ht="15" hidden="false" customHeight="false" outlineLevel="0" collapsed="false">
      <c r="A8" s="7" t="s">
        <v>37</v>
      </c>
      <c r="B8" s="7" t="s">
        <v>38</v>
      </c>
      <c r="C8" s="7" t="n">
        <f aca="false">SUMIFS('Demand Forecast'!$D$5:$D$28,'Demand Forecast'!$A$5:$A$28,A8)</f>
        <v>1680</v>
      </c>
      <c r="D8" s="7" t="n">
        <f aca="false">SUMIFS('Supplier Orders'!$F$5:$F$28,'Supplier Orders'!$C$5:$C$28,A8)</f>
        <v>1680</v>
      </c>
      <c r="E8" s="11" t="n">
        <f aca="false">IFERROR(D8/C8,0)</f>
        <v>1</v>
      </c>
      <c r="F8" s="12" t="str">
        <f aca="false">IF(E8&lt;1,"AT RISK","OK")</f>
        <v>OK</v>
      </c>
    </row>
  </sheetData>
  <conditionalFormatting sqref="F5:F8">
    <cfRule type="cellIs" priority="2" operator="equal" aboveAverage="0" equalAverage="0" bottom="0" percent="0" rank="0" text="" dxfId="0">
      <formula>"AT RISK"</formula>
    </cfRule>
    <cfRule type="cellIs" priority="3" operator="equal" aboveAverage="0" equalAverage="0" bottom="0" percent="0" rank="0" text="" dxfId="1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5" t="s">
        <v>82</v>
      </c>
    </row>
    <row r="2" customFormat="false" ht="15" hidden="false" customHeight="false" outlineLevel="0" collapsed="false">
      <c r="A2" s="2" t="s">
        <v>83</v>
      </c>
    </row>
    <row r="4" customFormat="false" ht="15" hidden="false" customHeight="false" outlineLevel="0" collapsed="false">
      <c r="A4" s="13" t="s">
        <v>84</v>
      </c>
      <c r="B4" s="14" t="s">
        <v>57</v>
      </c>
    </row>
    <row r="5" customFormat="false" ht="15" hidden="false" customHeight="false" outlineLevel="0" collapsed="false">
      <c r="A5" s="13" t="s">
        <v>85</v>
      </c>
      <c r="B5" s="14" t="n">
        <v>10</v>
      </c>
    </row>
    <row r="7" customFormat="false" ht="77.6" hidden="false" customHeight="false" outlineLevel="0" collapsed="false">
      <c r="A7" s="6" t="s">
        <v>27</v>
      </c>
      <c r="B7" s="6" t="s">
        <v>28</v>
      </c>
      <c r="C7" s="6" t="s">
        <v>79</v>
      </c>
      <c r="D7" s="6" t="s">
        <v>80</v>
      </c>
      <c r="E7" s="6" t="s">
        <v>86</v>
      </c>
      <c r="F7" s="6" t="s">
        <v>87</v>
      </c>
      <c r="G7" s="6" t="s">
        <v>88</v>
      </c>
      <c r="H7" s="6" t="s">
        <v>89</v>
      </c>
      <c r="I7" s="6" t="s">
        <v>90</v>
      </c>
    </row>
    <row r="8" customFormat="false" ht="15" hidden="false" customHeight="false" outlineLevel="0" collapsed="false">
      <c r="A8" s="7" t="s">
        <v>31</v>
      </c>
      <c r="B8" s="7" t="s">
        <v>32</v>
      </c>
      <c r="C8" s="7" t="n">
        <f aca="false">'Stock Coverage Dashboard'!C5</f>
        <v>2700</v>
      </c>
      <c r="D8" s="7" t="n">
        <f aca="false">'Stock Coverage Dashboard'!D5</f>
        <v>2650</v>
      </c>
      <c r="E8" s="7" t="n">
        <f aca="false">SUMIFS('Supplier Orders'!$F$5:$F$28,'Supplier Orders'!$C$5:$C$28,A8,'Supplier Orders'!$B$5:$B$28,$B$4)</f>
        <v>0</v>
      </c>
      <c r="F8" s="7" t="n">
        <f aca="false">IF($B$5&gt;0,E8,0)</f>
        <v>0</v>
      </c>
      <c r="G8" s="7" t="n">
        <f aca="false">D8-F8</f>
        <v>2650</v>
      </c>
      <c r="H8" s="11" t="n">
        <f aca="false">IFERROR(G8/C8,0)</f>
        <v>0.981481481481482</v>
      </c>
      <c r="I8" s="12" t="str">
        <f aca="false">IF(AND(F8&gt;0,H8&lt;1),"AT RISK","OK")</f>
        <v>OK</v>
      </c>
    </row>
    <row r="9" customFormat="false" ht="15" hidden="false" customHeight="false" outlineLevel="0" collapsed="false">
      <c r="A9" s="7" t="s">
        <v>33</v>
      </c>
      <c r="B9" s="7" t="s">
        <v>34</v>
      </c>
      <c r="C9" s="7" t="n">
        <f aca="false">'Stock Coverage Dashboard'!C6</f>
        <v>5020</v>
      </c>
      <c r="D9" s="7" t="n">
        <f aca="false">'Stock Coverage Dashboard'!D6</f>
        <v>5020</v>
      </c>
      <c r="E9" s="7" t="n">
        <f aca="false">SUMIFS('Supplier Orders'!$F$5:$F$28,'Supplier Orders'!$C$5:$C$28,A9,'Supplier Orders'!$B$5:$B$28,$B$4)</f>
        <v>5020</v>
      </c>
      <c r="F9" s="7" t="n">
        <f aca="false">IF($B$5&gt;0,E9,0)</f>
        <v>5020</v>
      </c>
      <c r="G9" s="7" t="n">
        <f aca="false">D9-F9</f>
        <v>0</v>
      </c>
      <c r="H9" s="11" t="n">
        <f aca="false">IFERROR(G9/C9,0)</f>
        <v>0</v>
      </c>
      <c r="I9" s="12" t="str">
        <f aca="false">IF(AND(F9&gt;0,H9&lt;1),"AT RISK","OK")</f>
        <v>AT RISK</v>
      </c>
    </row>
    <row r="10" customFormat="false" ht="15" hidden="false" customHeight="false" outlineLevel="0" collapsed="false">
      <c r="A10" s="7" t="s">
        <v>35</v>
      </c>
      <c r="B10" s="7" t="s">
        <v>36</v>
      </c>
      <c r="C10" s="7" t="n">
        <f aca="false">'Stock Coverage Dashboard'!C7</f>
        <v>1880</v>
      </c>
      <c r="D10" s="7" t="n">
        <f aca="false">'Stock Coverage Dashboard'!D7</f>
        <v>1860</v>
      </c>
      <c r="E10" s="7" t="n">
        <f aca="false">SUMIFS('Supplier Orders'!$F$5:$F$28,'Supplier Orders'!$C$5:$C$28,A10,'Supplier Orders'!$B$5:$B$28,$B$4)</f>
        <v>0</v>
      </c>
      <c r="F10" s="7" t="n">
        <f aca="false">IF($B$5&gt;0,E10,0)</f>
        <v>0</v>
      </c>
      <c r="G10" s="7" t="n">
        <f aca="false">D10-F10</f>
        <v>1860</v>
      </c>
      <c r="H10" s="11" t="n">
        <f aca="false">IFERROR(G10/C10,0)</f>
        <v>0.98936170212766</v>
      </c>
      <c r="I10" s="12" t="str">
        <f aca="false">IF(AND(F10&gt;0,H10&lt;1),"AT RISK","OK")</f>
        <v>OK</v>
      </c>
    </row>
    <row r="11" customFormat="false" ht="15" hidden="false" customHeight="false" outlineLevel="0" collapsed="false">
      <c r="A11" s="7" t="s">
        <v>37</v>
      </c>
      <c r="B11" s="7" t="s">
        <v>38</v>
      </c>
      <c r="C11" s="7" t="n">
        <f aca="false">'Stock Coverage Dashboard'!C8</f>
        <v>1680</v>
      </c>
      <c r="D11" s="7" t="n">
        <f aca="false">'Stock Coverage Dashboard'!D8</f>
        <v>1680</v>
      </c>
      <c r="E11" s="7" t="n">
        <f aca="false">SUMIFS('Supplier Orders'!$F$5:$F$28,'Supplier Orders'!$C$5:$C$28,A11,'Supplier Orders'!$B$5:$B$28,$B$4)</f>
        <v>0</v>
      </c>
      <c r="F11" s="7" t="n">
        <f aca="false">IF($B$5&gt;0,E11,0)</f>
        <v>0</v>
      </c>
      <c r="G11" s="7" t="n">
        <f aca="false">D11-F11</f>
        <v>1680</v>
      </c>
      <c r="H11" s="11" t="n">
        <f aca="false">IFERROR(G11/C11,0)</f>
        <v>1</v>
      </c>
      <c r="I11" s="12" t="str">
        <f aca="false">IF(AND(F11&gt;0,H11&lt;1),"AT RISK","OK")</f>
        <v>OK</v>
      </c>
    </row>
    <row r="13" customFormat="false" ht="15" hidden="false" customHeight="false" outlineLevel="0" collapsed="false">
      <c r="A13" s="2" t="s">
        <v>91</v>
      </c>
    </row>
    <row r="14" customFormat="false" ht="30" hidden="false" customHeight="true" outlineLevel="0" collapsed="false">
      <c r="A14" s="15" t="s">
        <v>92</v>
      </c>
      <c r="B14" s="15"/>
      <c r="C14" s="15"/>
      <c r="D14" s="15"/>
      <c r="E14" s="15"/>
      <c r="F14" s="15"/>
      <c r="G14" s="15"/>
      <c r="H14" s="15"/>
      <c r="I14" s="15"/>
    </row>
  </sheetData>
  <mergeCells count="1">
    <mergeCell ref="A14:I14"/>
  </mergeCells>
  <conditionalFormatting sqref="I8:I11">
    <cfRule type="cellIs" priority="2" operator="equal" aboveAverage="0" equalAverage="0" bottom="0" percent="0" rank="0" text="" dxfId="0">
      <formula>"AT RISK"</formula>
    </cfRule>
    <cfRule type="cellIs" priority="3" operator="equal" aboveAverage="0" equalAverage="0" bottom="0" percent="0" rank="0" text="" dxfId="1">
      <formula>"OK"</formula>
    </cfRule>
  </conditionalFormatting>
  <dataValidations count="1">
    <dataValidation allowBlank="false" errorStyle="stop" operator="between" showDropDown="false" showErrorMessage="false" showInputMessage="false" sqref="B4" type="list">
      <formula1>"Supplier Alpha,Supplier Beta,Supplier Gamma,Supplier Delta"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2026-09-27T14:54:59Z</dcterms:created>
  <dc:creator>openpyxl</dc:creator>
  <dc:description/>
  <dc:language>en-US</dc:language>
  <cp:lastModifiedBy/>
  <dcterms:modified xsi:type="dcterms:W3CDTF">2026-09-27T14:54:59Z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