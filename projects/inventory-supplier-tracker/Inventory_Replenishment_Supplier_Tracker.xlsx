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ADME" sheetId="1" state="visible" r:id="rId3"/>
    <sheet name="Material Planning Control Tower" sheetId="2" state="visible" r:id="rId4"/>
    <sheet name="Demand Forecast" sheetId="3" state="visible" r:id="rId5"/>
    <sheet name="Supplier Orders" sheetId="4" state="visible" r:id="rId6"/>
    <sheet name="Stock Coverage Dashboard" sheetId="5" state="visible" r:id="rId7"/>
    <sheet name="What-If Scenario" sheetId="6" state="visible" r:id="rId8"/>
  </sheets>
  <definedNames>
    <definedName function="false" hidden="true" localSheetId="1" name="_xlnm._FilterDatabase" vbProcedure="false">'Material Planning Control Tower'!$A$13:$N$37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<sst xmlns="http://schemas.openxmlformats.org/spreadsheetml/2006/main" count="272" uniqueCount="125">
  <si>
    <t xml:space="preserve">Inventory Replenishment &amp; Supplier Performance Tracker</t>
  </si>
  <si>
    <t xml:space="preserve">Sample project — demand vs. supply tracking, delivery discrepancy flagging &amp; what-if scenarios</t>
  </si>
  <si>
    <t xml:space="preserve">PURPOSE</t>
  </si>
  <si>
    <t xml:space="preserve">Built to practise a workflow that comes up across procurement, inventory and materials planning</t>
  </si>
  <si>
    <t xml:space="preserve">roles: tracking confirmed supplier order quantities and dates against a demand forecast, flagging</t>
  </si>
  <si>
    <t xml:space="preserve">discrepancies (late or short deliveries), and running what-if scenarios on delays.</t>
  </si>
  <si>
    <t xml:space="preserve">TABS</t>
  </si>
  <si>
    <t xml:space="preserve">1. Demand Forecast      — forecasted sales/replenishment demand by SKU and week.</t>
  </si>
  <si>
    <t xml:space="preserve">2. Supplier Orders      — order-level data: quantities, due dates, actual delivery dates. Status and</t>
  </si>
  <si>
    <t xml:space="preserve">                          delay are calculated automatically, so discrepancies surface without</t>
  </si>
  <si>
    <t xml:space="preserve">                          manually checking each line.</t>
  </si>
  <si>
    <t xml:space="preserve">START HERE</t>
  </si>
  <si>
    <t xml:space="preserve">Material Planning Control Tower</t>
  </si>
  <si>
    <t xml:space="preserve">Use this as the decision-support layer, then drill into the underlying sheets.</t>
  </si>
  <si>
    <t xml:space="preserve">HOW TO USE</t>
  </si>
  <si>
    <t xml:space="preserve">Cells shaded YELLOW with BLUE text are the only inputs meant to be edited (order data on the</t>
  </si>
  <si>
    <t xml:space="preserve">Supplier Orders tab, and the scenario inputs on the What-If tab). All other cells are formulas</t>
  </si>
  <si>
    <t xml:space="preserve">and will recalculate automatically.</t>
  </si>
  <si>
    <t xml:space="preserve">NOTE ON DATA</t>
  </si>
  <si>
    <t xml:space="preserve">SKU, supplier and order data in this file is illustrative sample data built to demonstrate the</t>
  </si>
  <si>
    <t xml:space="preserve">workflow and formulas — not real business data.</t>
  </si>
  <si>
    <t xml:space="preserve">RELATED PROJECT</t>
  </si>
  <si>
    <t xml:space="preserve">See the companion Supplier Sustainability Scorecard workbook, which scores these same four</t>
  </si>
  <si>
    <t xml:space="preserve">suppliers on emissions, renewable energy use, certification and proximity alongside delivery</t>
  </si>
  <si>
    <t xml:space="preserve">performance.</t>
  </si>
  <si>
    <t xml:space="preserve">Decision-support layer connecting demand, supplier execution, inventory coverage and what-if planning</t>
  </si>
  <si>
    <t xml:space="preserve">TOTAL ORDERS</t>
  </si>
  <si>
    <t xml:space="preserve">OPEN / PENDING</t>
  </si>
  <si>
    <t xml:space="preserve">HIGH PRIORITY</t>
  </si>
  <si>
    <t xml:space="preserve">LATE DELIVERIES</t>
  </si>
  <si>
    <t xml:space="preserve">AT-RISK SKUs</t>
  </si>
  <si>
    <t xml:space="preserve">SHORT UNITS</t>
  </si>
  <si>
    <t xml:space="preserve">HOW TO USE THE CONTROL TOWER</t>
  </si>
  <si>
    <t xml:space="preserve">1  Review exceptions
Start with the decision queue below and filter the Exception column.</t>
  </si>
  <si>
    <t xml:space="preserve">2  Check coverage
Use Stock Coverage to see whether supply can cover forecasted demand.</t>
  </si>
  <si>
    <t xml:space="preserve">3  Test scenarios
Use What-If Scenario to test supplier-delay exposure.</t>
  </si>
  <si>
    <t xml:space="preserve">4  Take action
Use the recommended action and investigate the source order.</t>
  </si>
  <si>
    <t xml:space="preserve">DECISION QUEUE — filter by Exception or Priority to investigate</t>
  </si>
  <si>
    <t xml:space="preserve">Order ID</t>
  </si>
  <si>
    <t xml:space="preserve">Supplier</t>
  </si>
  <si>
    <t xml:space="preserve">SKU ID</t>
  </si>
  <si>
    <t xml:space="preserve">Product</t>
  </si>
  <si>
    <t xml:space="preserve">Order Qty</t>
  </si>
  <si>
    <t xml:space="preserve">Confirmed Qty</t>
  </si>
  <si>
    <t xml:space="preserve">Due Date</t>
  </si>
  <si>
    <t xml:space="preserve">Actual Delivery</t>
  </si>
  <si>
    <t xml:space="preserve">Delay (days)</t>
  </si>
  <si>
    <t xml:space="preserve">Status</t>
  </si>
  <si>
    <t xml:space="preserve">Short Qty</t>
  </si>
  <si>
    <t xml:space="preserve">Exception</t>
  </si>
  <si>
    <t xml:space="preserve">Priority</t>
  </si>
  <si>
    <t xml:space="preserve">Recommended Action</t>
  </si>
  <si>
    <t xml:space="preserve">DRILL-DOWN TO THE UNDERLYING MODEL</t>
  </si>
  <si>
    <t xml:space="preserve">Supplier Orders
Supplier order quantities, confirmations, dates and exception logic</t>
  </si>
  <si>
    <t xml:space="preserve">Stock Coverage Dashboard
Forecasted demand vs confirmed supply by SKU</t>
  </si>
  <si>
    <t xml:space="preserve">What-If Scenario
Simulate supplier-delay impact on material coverage</t>
  </si>
  <si>
    <t xml:space="preserve">Demand Forecast
Forecasted replenishment demand by SKU and week</t>
  </si>
  <si>
    <t xml:space="preserve">CURRENT WHAT-IF INPUT</t>
  </si>
  <si>
    <t xml:space="preserve">Supplier being simulated</t>
  </si>
  <si>
    <t xml:space="preserve">Simulated delay (days)</t>
  </si>
  <si>
    <t xml:space="preserve">SKUs becoming at risk</t>
  </si>
  <si>
    <t xml:space="preserve">Open scenario</t>
  </si>
  <si>
    <t xml:space="preserve">Go to What-If Scenario →</t>
  </si>
  <si>
    <t xml:space="preserve">Model logic is unchanged: Demand Forecast feeds Supplier Orders; Supplier Orders feeds Stock Coverage; What-If Scenario tests supplier-delay exposure. The Control Tower reads those existing outputs and turns them into an exception-driven decision queue. Changing source inputs updates this layer automatically.</t>
  </si>
  <si>
    <t xml:space="preserve">Traceability note: the queue intentionally retains every supplier order. Use the Exception and Priority filters to focus on actions requiring attention; the underlying Supplier Orders, Stock Coverage Dashboard and What-If Scenario remain the source model.</t>
  </si>
  <si>
    <t xml:space="preserve">Demand Forecast</t>
  </si>
  <si>
    <t xml:space="preserve">Forecasted replenishment demand by SKU and week</t>
  </si>
  <si>
    <t xml:space="preserve">Week</t>
  </si>
  <si>
    <t xml:space="preserve">Forecasted Demand (units)</t>
  </si>
  <si>
    <t xml:space="preserve">SKU-A</t>
  </si>
  <si>
    <t xml:space="preserve">Wireless Earbuds</t>
  </si>
  <si>
    <t xml:space="preserve">SKU-B</t>
  </si>
  <si>
    <t xml:space="preserve">Phone Case (Bulk Pack)</t>
  </si>
  <si>
    <t xml:space="preserve">SKU-C</t>
  </si>
  <si>
    <t xml:space="preserve">USB-C Charging Cable</t>
  </si>
  <si>
    <t xml:space="preserve">SKU-D</t>
  </si>
  <si>
    <t xml:space="preserve">Laptop Stand</t>
  </si>
  <si>
    <t xml:space="preserve">Supplier Orders</t>
  </si>
  <si>
    <t xml:space="preserve">Order-level tracking — Status and Delay (days) are calculated automatically</t>
  </si>
  <si>
    <t xml:space="preserve">Actual Delivery Date</t>
  </si>
  <si>
    <t xml:space="preserve">Exception Type</t>
  </si>
  <si>
    <t xml:space="preserve">PO-1001</t>
  </si>
  <si>
    <t xml:space="preserve">Supplier Alpha</t>
  </si>
  <si>
    <t xml:space="preserve">PO-1002</t>
  </si>
  <si>
    <t xml:space="preserve">PO-1003</t>
  </si>
  <si>
    <t xml:space="preserve">PO-1004</t>
  </si>
  <si>
    <t xml:space="preserve">PO-1005</t>
  </si>
  <si>
    <t xml:space="preserve">PO-1006</t>
  </si>
  <si>
    <t xml:space="preserve">PO-2001</t>
  </si>
  <si>
    <t xml:space="preserve">Supplier Beta</t>
  </si>
  <si>
    <t xml:space="preserve">PO-2002</t>
  </si>
  <si>
    <t xml:space="preserve">PO-2003</t>
  </si>
  <si>
    <t xml:space="preserve">PO-2004</t>
  </si>
  <si>
    <t xml:space="preserve">PO-2005</t>
  </si>
  <si>
    <t xml:space="preserve">PO-2006</t>
  </si>
  <si>
    <t xml:space="preserve">PO-3001</t>
  </si>
  <si>
    <t xml:space="preserve">Supplier Gamma</t>
  </si>
  <si>
    <t xml:space="preserve">PO-3002</t>
  </si>
  <si>
    <t xml:space="preserve">PO-3003</t>
  </si>
  <si>
    <t xml:space="preserve">PO-3004</t>
  </si>
  <si>
    <t xml:space="preserve">PO-3005</t>
  </si>
  <si>
    <t xml:space="preserve">PO-3006</t>
  </si>
  <si>
    <t xml:space="preserve">PO-4001</t>
  </si>
  <si>
    <t xml:space="preserve">Supplier Delta</t>
  </si>
  <si>
    <t xml:space="preserve">PO-4002</t>
  </si>
  <si>
    <t xml:space="preserve">PO-4003</t>
  </si>
  <si>
    <t xml:space="preserve">PO-4004</t>
  </si>
  <si>
    <t xml:space="preserve">PO-4005</t>
  </si>
  <si>
    <t xml:space="preserve">PO-4006</t>
  </si>
  <si>
    <t xml:space="preserve">Stock Coverage Dashboard</t>
  </si>
  <si>
    <t xml:space="preserve">Forecasted demand vs. confirmed supply, by SKU (totals across all weeks / orders)</t>
  </si>
  <si>
    <t xml:space="preserve">Total Forecasted Demand</t>
  </si>
  <si>
    <t xml:space="preserve">Total Confirmed Supply</t>
  </si>
  <si>
    <t xml:space="preserve">Coverage %</t>
  </si>
  <si>
    <t xml:space="preserve">What-If Scenario: Supplier Delay Impact</t>
  </si>
  <si>
    <t xml:space="preserve">Select a supplier and a hypothetical delay to see the effect on material coverage</t>
  </si>
  <si>
    <t xml:space="preserve">Supplier to simulate:</t>
  </si>
  <si>
    <t xml:space="preserve">Simulated delay (days):</t>
  </si>
  <si>
    <t xml:space="preserve">Qty From Selected Supplier</t>
  </si>
  <si>
    <t xml:space="preserve">At-Risk Qty (if delayed)</t>
  </si>
  <si>
    <t xml:space="preserve">Adjusted Supply</t>
  </si>
  <si>
    <t xml:space="preserve">Adjusted Coverage %</t>
  </si>
  <si>
    <t xml:space="preserve">Impact</t>
  </si>
  <si>
    <t xml:space="preserve">Try changing B4 (supplier) and B5 (delay days) to see which items move to AT RISK.</t>
  </si>
  <si>
    <t xml:space="preserve">Assumption: for simplicity, any simulated delay (B5 &gt; 0) treats that supplier's full confirmed quantity for the item as at-risk. A production MRP tool would isolate only the specific late order line(s) rather than the supplier's entire confirmed volume.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</si>
</sst>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yyyy\-mm\-dd"/>
    <numFmt numFmtId="167" formatCode="0"/>
    <numFmt numFmtId="168" formatCode="0.0%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5C57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F5C57"/>
      <name val="Arial"/>
      <family val="0"/>
      <charset val="1"/>
    </font>
    <font>
      <b val="true"/>
      <sz val="11"/>
      <color rgb="FFFFFFFF"/>
      <name val="Cambria"/>
      <family val="0"/>
      <charset val="1"/>
    </font>
    <font>
      <sz val="12"/>
      <color theme="10"/>
      <name val="Calibri"/>
      <family val="2"/>
      <charset val="1"/>
    </font>
    <font>
      <i val="true"/>
      <sz val="11"/>
      <color rgb="FF6B7280"/>
      <name val="Cambria"/>
      <family val="0"/>
      <charset val="1"/>
    </font>
    <font>
      <b val="true"/>
      <sz val="22"/>
      <color rgb="FFFFFFFF"/>
      <name val="Cambria"/>
      <family val="0"/>
      <charset val="1"/>
    </font>
    <font>
      <b val="true"/>
      <sz val="10"/>
      <color rgb="FFFFFFFF"/>
      <name val="Cambria"/>
      <family val="0"/>
      <charset val="1"/>
    </font>
    <font>
      <b val="true"/>
      <sz val="20"/>
      <color rgb="FF17365D"/>
      <name val="Cambria"/>
      <family val="0"/>
      <charset val="1"/>
    </font>
    <font>
      <sz val="10"/>
      <color rgb="FF1F2937"/>
      <name val="Cambria"/>
      <family val="0"/>
      <charset val="1"/>
    </font>
    <font>
      <b val="true"/>
      <sz val="13"/>
      <color rgb="FFFFFFFF"/>
      <name val="Cambria"/>
      <family val="0"/>
      <charset val="1"/>
    </font>
    <font>
      <b val="true"/>
      <sz val="10"/>
      <color rgb="FF2F75B5"/>
      <name val="Cambria"/>
      <family val="0"/>
      <charset val="1"/>
    </font>
    <font>
      <b val="true"/>
      <sz val="11"/>
      <color rgb="FF1F2937"/>
      <name val="Cambria"/>
      <family val="0"/>
      <charset val="1"/>
    </font>
    <font>
      <b val="true"/>
      <sz val="11"/>
      <color rgb="FF2F75B5"/>
      <name val="Cambria"/>
      <family val="0"/>
      <charset val="1"/>
    </font>
    <font>
      <i val="true"/>
      <sz val="10"/>
      <color rgb="FF6B7280"/>
      <name val="Cambria"/>
      <family val="0"/>
      <charset val="1"/>
    </font>
    <font>
      <b val="true"/>
      <sz val="14"/>
      <color rgb="FF1F5C57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7365D"/>
        <bgColor rgb="FF1F2937"/>
      </patternFill>
    </fill>
    <fill>
      <patternFill patternType="solid">
        <fgColor rgb="FF2F75B5"/>
        <bgColor rgb="FF0F6B78"/>
      </patternFill>
    </fill>
    <fill>
      <patternFill patternType="solid">
        <fgColor rgb="FF0F6B78"/>
        <bgColor rgb="FF1F5C57"/>
      </patternFill>
    </fill>
    <fill>
      <patternFill patternType="solid">
        <fgColor rgb="FFC55A11"/>
        <bgColor rgb="FF9E480E"/>
      </patternFill>
    </fill>
    <fill>
      <patternFill patternType="solid">
        <fgColor rgb="FF9E480E"/>
        <bgColor rgb="FFC55A11"/>
      </patternFill>
    </fill>
    <fill>
      <patternFill patternType="solid">
        <fgColor rgb="FFA61C00"/>
        <bgColor rgb="FF800000"/>
      </patternFill>
    </fill>
    <fill>
      <patternFill patternType="solid">
        <fgColor rgb="FF7F6000"/>
        <bgColor rgb="FF9E480E"/>
      </patternFill>
    </fill>
    <fill>
      <patternFill patternType="solid">
        <fgColor rgb="FFEAF2F8"/>
        <bgColor rgb="FFE8F3F4"/>
      </patternFill>
    </fill>
    <fill>
      <patternFill patternType="solid">
        <fgColor rgb="FFE8F3F4"/>
        <bgColor rgb="FFEAF2F8"/>
      </patternFill>
    </fill>
    <fill>
      <patternFill patternType="solid">
        <fgColor rgb="FF1F5C57"/>
        <bgColor rgb="FF0F6B78"/>
      </patternFill>
    </fill>
    <fill>
      <patternFill patternType="solid">
        <fgColor rgb="FFFFFF00"/>
        <bgColor rgb="FFFFFF00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>
        <color rgb="FFD9E2F3"/>
      </left>
      <right style="thin">
        <color rgb="FFD9E2F3"/>
      </right>
      <top style="medium">
        <color rgb="FF17365D"/>
      </top>
      <bottom style="thin">
        <color rgb="FFD9E2F3"/>
      </bottom>
      <diagonal/>
    </border>
    <border diagonalUp="false" diagonalDown="false">
      <left style="thin">
        <color rgb="FFD9E2F3"/>
      </left>
      <right style="thin">
        <color rgb="FFD9E2F3"/>
      </right>
      <top/>
      <bottom style="medium">
        <color rgb="FF17365D"/>
      </bottom>
      <diagonal/>
    </border>
    <border diagonalUp="false" diagonalDown="false"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 diagonalUp="false" diagonalDown="false">
      <left style="thin">
        <color rgb="FFD9E2F3"/>
      </left>
      <right style="thin">
        <color rgb="FFD9E2F3"/>
      </right>
      <top style="medium">
        <color rgb="FF17365D"/>
      </top>
      <bottom style="medium">
        <color rgb="FF17365D"/>
      </bottom>
      <diagonal/>
    </border>
    <border diagonalUp="false" diagonalDown="false"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1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4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9" borderId="3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8" fillId="9" borderId="0" xfId="2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1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12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2" fillId="12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0" fillId="0" borderId="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15">
    <dxf>
      <fill>
        <patternFill patternType="solid">
          <fgColor rgb="FF17365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F4CCCC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F4B183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61C00"/>
      <rgbColor rgb="FF008000"/>
      <rgbColor rgb="FF000080"/>
      <rgbColor rgb="FF7F6000"/>
      <rgbColor rgb="FF800080"/>
      <rgbColor rgb="FF0F6B78"/>
      <rgbColor rgb="FFCCCCCC"/>
      <rgbColor rgb="FF808080"/>
      <rgbColor rgb="FF9999FF"/>
      <rgbColor rgb="FF993366"/>
      <rgbColor rgb="FFFFF2CC"/>
      <rgbColor rgb="FFE8F3F4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1F5C57"/>
      <rgbColor rgb="FF0000FF"/>
      <rgbColor rgb="FF00CCFF"/>
      <rgbColor rgb="FFEAF2F8"/>
      <rgbColor rgb="FFC6E0B4"/>
      <rgbColor rgb="FFFCE4D6"/>
      <rgbColor rgb="FF99CCFF"/>
      <rgbColor rgb="FFF4B183"/>
      <rgbColor rgb="FFF4CCCC"/>
      <rgbColor rgb="FFF8CBAD"/>
      <rgbColor rgb="FF2F75B5"/>
      <rgbColor rgb="FF33CCCC"/>
      <rgbColor rgb="FF99CC00"/>
      <rgbColor rgb="FFFFCC00"/>
      <rgbColor rgb="FFFF9900"/>
      <rgbColor rgb="FFC55A11"/>
      <rgbColor rgb="FF6B7280"/>
      <rgbColor rgb="FF969696"/>
      <rgbColor rgb="FF17365D"/>
      <rgbColor rgb="FF339966"/>
      <rgbColor rgb="FF003300"/>
      <rgbColor rgb="FF333300"/>
      <rgbColor rgb="FF9E480E"/>
      <rgbColor rgb="FF993366"/>
      <rgbColor rgb="FF555555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../Inventory_Replenishment_Supplier_Tracker_Decision_Support_v2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../Inventory_Replenishment_Supplier_Tracker_Decision_Support_v2.xlsx" TargetMode="External"/><Relationship Id="rId2" Type="http://schemas.openxmlformats.org/officeDocument/2006/relationships/hyperlink" Target="../Inventory_Replenishment_Supplier_Tracker_Decision_Support_v2.xlsx" TargetMode="External"/><Relationship Id="rId3" Type="http://schemas.openxmlformats.org/officeDocument/2006/relationships/hyperlink" Target="../Inventory_Replenishment_Supplier_Tracker_Decision_Support_v2.xlsx" TargetMode="External"/><Relationship Id="rId4" Type="http://schemas.openxmlformats.org/officeDocument/2006/relationships/hyperlink" Target="../Inventory_Replenishment_Supplier_Tracker_Decision_Support_v2.xlsx" TargetMode="External"/><Relationship Id="rId5" Type="http://schemas.openxmlformats.org/officeDocument/2006/relationships/hyperlink" Target="../Inventory_Replenishment_Supplier_Tracker_Decision_Support_v2.xlsx" TargetMode="External"/><Relationship Id="rId6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10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/>
    </row>
    <row r="4" customFormat="false" ht="15" hidden="false" customHeight="true" outlineLevel="0" collapsed="false">
      <c r="A4" s="5" t="s">
        <v>2</v>
      </c>
    </row>
    <row r="5" customFormat="false" ht="15" hidden="false" customHeight="true" outlineLevel="0" collapsed="false">
      <c r="A5" s="4" t="s">
        <v>3</v>
      </c>
    </row>
    <row r="6" customFormat="false" ht="15" hidden="false" customHeight="true" outlineLevel="0" collapsed="false">
      <c r="A6" s="4" t="s">
        <v>4</v>
      </c>
    </row>
    <row r="7" customFormat="false" ht="15" hidden="false" customHeight="true" outlineLevel="0" collapsed="false">
      <c r="A7" s="4" t="s">
        <v>5</v>
      </c>
    </row>
    <row r="8" customFormat="false" ht="15" hidden="false" customHeight="true" outlineLevel="0" collapsed="false">
      <c r="A8" s="4"/>
    </row>
    <row r="9" customFormat="false" ht="15" hidden="false" customHeight="true" outlineLevel="0" collapsed="false">
      <c r="A9" s="5" t="s">
        <v>6</v>
      </c>
    </row>
    <row r="10" customFormat="false" ht="15" hidden="false" customHeight="true" outlineLevel="0" collapsed="false">
      <c r="A10" s="4" t="s">
        <v>7</v>
      </c>
    </row>
    <row r="11" customFormat="false" ht="15" hidden="false" customHeight="true" outlineLevel="0" collapsed="false">
      <c r="A11" s="4" t="s">
        <v>8</v>
      </c>
    </row>
    <row r="12" customFormat="false" ht="15" hidden="false" customHeight="true" outlineLevel="0" collapsed="false">
      <c r="A12" s="4" t="s">
        <v>9</v>
      </c>
    </row>
    <row r="13" customFormat="false" ht="15" hidden="false" customHeight="true" outlineLevel="0" collapsed="false">
      <c r="A13" s="4" t="s">
        <v>10</v>
      </c>
    </row>
    <row r="14" customFormat="false" ht="15" hidden="false" customHeight="true" outlineLevel="0" collapsed="false">
      <c r="A14" s="6" t="s">
        <v>11</v>
      </c>
    </row>
    <row r="15" customFormat="false" ht="15" hidden="false" customHeight="true" outlineLevel="0" collapsed="false">
      <c r="A15" s="7" t="s">
        <v>12</v>
      </c>
    </row>
    <row r="16" customFormat="false" ht="15" hidden="false" customHeight="true" outlineLevel="0" collapsed="false">
      <c r="A16" s="8" t="s">
        <v>13</v>
      </c>
    </row>
    <row r="17" customFormat="false" ht="15" hidden="false" customHeight="true" outlineLevel="0" collapsed="false">
      <c r="A17" s="4"/>
    </row>
    <row r="18" customFormat="false" ht="15" hidden="false" customHeight="true" outlineLevel="0" collapsed="false">
      <c r="A18" s="5" t="s">
        <v>14</v>
      </c>
    </row>
    <row r="19" customFormat="false" ht="15" hidden="false" customHeight="true" outlineLevel="0" collapsed="false">
      <c r="A19" s="4" t="s">
        <v>15</v>
      </c>
    </row>
    <row r="20" customFormat="false" ht="15" hidden="false" customHeight="true" outlineLevel="0" collapsed="false">
      <c r="A20" s="4" t="s">
        <v>16</v>
      </c>
    </row>
    <row r="21" customFormat="false" ht="15" hidden="false" customHeight="true" outlineLevel="0" collapsed="false">
      <c r="A21" s="4" t="s">
        <v>17</v>
      </c>
    </row>
    <row r="22" customFormat="false" ht="15" hidden="false" customHeight="true" outlineLevel="0" collapsed="false">
      <c r="A22" s="4"/>
    </row>
    <row r="23" customFormat="false" ht="15" hidden="false" customHeight="true" outlineLevel="0" collapsed="false">
      <c r="A23" s="5" t="s">
        <v>18</v>
      </c>
    </row>
    <row r="24" customFormat="false" ht="15" hidden="false" customHeight="true" outlineLevel="0" collapsed="false">
      <c r="A24" s="4" t="s">
        <v>19</v>
      </c>
    </row>
    <row r="25" customFormat="false" ht="15" hidden="false" customHeight="true" outlineLevel="0" collapsed="false">
      <c r="A25" s="4" t="s">
        <v>20</v>
      </c>
    </row>
    <row r="26" customFormat="false" ht="15" hidden="false" customHeight="true" outlineLevel="0" collapsed="false">
      <c r="A26" s="4"/>
    </row>
    <row r="27" customFormat="false" ht="15" hidden="false" customHeight="true" outlineLevel="0" collapsed="false">
      <c r="A27" s="4" t="s">
        <v>21</v>
      </c>
    </row>
    <row r="28" customFormat="false" ht="15" hidden="false" customHeight="true" outlineLevel="0" collapsed="false">
      <c r="A28" s="4" t="s">
        <v>22</v>
      </c>
    </row>
    <row r="29" customFormat="false" ht="15" hidden="false" customHeight="true" outlineLevel="0" collapsed="false">
      <c r="A29" s="4" t="s">
        <v>23</v>
      </c>
    </row>
    <row r="30" customFormat="false" ht="15" hidden="false" customHeight="true" outlineLevel="0" collapsed="false">
      <c r="A30" s="4" t="s">
        <v>24</v>
      </c>
    </row>
  </sheetData>
  <hyperlinks>
    <hyperlink ref="A15" r:id="rId1" location="'Material%20Planning%20Control%20Tower'!A1" display="Material Planning Control Towe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8"/>
    <col collapsed="false" customWidth="true" hidden="false" outlineLevel="0" max="3" min="3" style="0" width="11"/>
    <col collapsed="false" customWidth="true" hidden="false" outlineLevel="0" max="4" min="4" style="0" width="18"/>
    <col collapsed="false" customWidth="true" hidden="false" outlineLevel="0" max="6" min="5" style="0" width="14"/>
    <col collapsed="false" customWidth="true" hidden="false" outlineLevel="0" max="8" min="7" style="0" width="16"/>
    <col collapsed="false" customWidth="true" hidden="false" outlineLevel="0" max="9" min="9" style="0" width="13"/>
    <col collapsed="false" customWidth="true" hidden="false" outlineLevel="0" max="10" min="10" style="0" width="18"/>
    <col collapsed="false" customWidth="true" hidden="false" outlineLevel="0" max="11" min="11" style="0" width="13"/>
    <col collapsed="false" customWidth="true" hidden="false" outlineLevel="0" max="12" min="12" style="0" width="20"/>
    <col collapsed="false" customWidth="true" hidden="false" outlineLevel="0" max="13" min="13" style="0" width="13"/>
    <col collapsed="false" customWidth="true" hidden="false" outlineLevel="0" max="14" min="14" style="0" width="40"/>
  </cols>
  <sheetData>
    <row r="1" customFormat="false" ht="33.75" hidden="false" customHeight="true" outlineLevel="0" collapsed="false">
      <c r="A1" s="9" t="s">
        <v>12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</row>
    <row r="2" customFormat="false" ht="15" hidden="false" customHeight="false" outlineLevel="0" collapsed="false">
      <c r="A2" s="10" t="s">
        <v>25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</row>
    <row r="4" customFormat="false" ht="15" hidden="false" customHeight="false" outlineLevel="0" collapsed="false">
      <c r="A4" s="11" t="s">
        <v>26</v>
      </c>
      <c r="B4" s="11"/>
      <c r="C4" s="12" t="s">
        <v>27</v>
      </c>
      <c r="D4" s="12"/>
      <c r="E4" s="13" t="s">
        <v>28</v>
      </c>
      <c r="F4" s="13"/>
      <c r="G4" s="14" t="s">
        <v>29</v>
      </c>
      <c r="H4" s="14"/>
      <c r="I4" s="15" t="s">
        <v>30</v>
      </c>
      <c r="J4" s="15"/>
      <c r="K4" s="16" t="s">
        <v>31</v>
      </c>
      <c r="L4" s="16"/>
      <c r="M4" s="16"/>
      <c r="N4" s="16"/>
    </row>
    <row r="5" customFormat="false" ht="27.75" hidden="false" customHeight="true" outlineLevel="0" collapsed="false">
      <c r="A5" s="17" t="n">
        <f aca="false">COUNTA('Supplier Orders'!A5:A28)</f>
        <v>24</v>
      </c>
      <c r="B5" s="17"/>
      <c r="C5" s="17" t="n">
        <f aca="false">COUNTIF('Supplier Orders'!L5:L28,"Pending Confirmation")</f>
        <v>4</v>
      </c>
      <c r="D5" s="17"/>
      <c r="E5" s="17" t="n">
        <f aca="false">COUNTIF('Supplier Orders'!M5:M28,"High")</f>
        <v>2</v>
      </c>
      <c r="F5" s="17"/>
      <c r="G5" s="17" t="n">
        <f aca="false">COUNTIF('Supplier Orders'!L5:L28,"Late Delivery")+COUNTIF('Supplier Orders'!L5:L28,"Late &amp; Short")</f>
        <v>5</v>
      </c>
      <c r="H5" s="17"/>
      <c r="I5" s="17" t="n">
        <f aca="false">COUNTIF('Stock Coverage Dashboard'!F5:F8,"AT RISK")</f>
        <v>2</v>
      </c>
      <c r="J5" s="17"/>
      <c r="K5" s="17" t="n">
        <f aca="false">SUM('Supplier Orders'!K5:K28)</f>
        <v>70</v>
      </c>
      <c r="L5" s="17"/>
      <c r="M5" s="17"/>
      <c r="N5" s="17"/>
    </row>
    <row r="6" customFormat="false" ht="12" hidden="false" customHeight="true" outlineLevel="0" collapsed="false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</row>
    <row r="8" customFormat="false" ht="15" hidden="false" customHeight="false" outlineLevel="0" collapsed="false">
      <c r="A8" s="18" t="s">
        <v>32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</row>
    <row r="9" customFormat="false" ht="25.5" hidden="false" customHeight="true" outlineLevel="0" collapsed="false">
      <c r="A9" s="19" t="s">
        <v>33</v>
      </c>
      <c r="B9" s="19"/>
      <c r="C9" s="19"/>
      <c r="D9" s="19" t="s">
        <v>34</v>
      </c>
      <c r="E9" s="19"/>
      <c r="F9" s="19"/>
      <c r="G9" s="19" t="s">
        <v>35</v>
      </c>
      <c r="H9" s="19"/>
      <c r="I9" s="19"/>
      <c r="J9" s="19" t="s">
        <v>36</v>
      </c>
      <c r="K9" s="19"/>
      <c r="L9" s="19"/>
      <c r="M9" s="19"/>
      <c r="N9" s="19"/>
    </row>
    <row r="10" customFormat="false" ht="25.5" hidden="false" customHeight="true" outlineLevel="0" collapsed="false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</row>
    <row r="12" customFormat="false" ht="16.15" hidden="false" customHeight="false" outlineLevel="0" collapsed="false">
      <c r="A12" s="20" t="s">
        <v>37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</row>
    <row r="13" customFormat="false" ht="28.35" hidden="false" customHeight="false" outlineLevel="0" collapsed="false">
      <c r="A13" s="21" t="s">
        <v>38</v>
      </c>
      <c r="B13" s="21" t="s">
        <v>39</v>
      </c>
      <c r="C13" s="21" t="s">
        <v>40</v>
      </c>
      <c r="D13" s="21" t="s">
        <v>41</v>
      </c>
      <c r="E13" s="21" t="s">
        <v>42</v>
      </c>
      <c r="F13" s="21" t="s">
        <v>43</v>
      </c>
      <c r="G13" s="21" t="s">
        <v>44</v>
      </c>
      <c r="H13" s="21" t="s">
        <v>45</v>
      </c>
      <c r="I13" s="21" t="s">
        <v>46</v>
      </c>
      <c r="J13" s="21" t="s">
        <v>47</v>
      </c>
      <c r="K13" s="21" t="s">
        <v>48</v>
      </c>
      <c r="L13" s="21" t="s">
        <v>49</v>
      </c>
      <c r="M13" s="21" t="s">
        <v>50</v>
      </c>
      <c r="N13" s="21" t="s">
        <v>51</v>
      </c>
    </row>
    <row r="14" customFormat="false" ht="15" hidden="false" customHeight="false" outlineLevel="0" collapsed="false">
      <c r="A14" s="22" t="str">
        <f aca="false">'Supplier Orders'!A5</f>
        <v>PO-1001</v>
      </c>
      <c r="B14" s="22" t="str">
        <f aca="false">'Supplier Orders'!B5</f>
        <v>Supplier Alpha</v>
      </c>
      <c r="C14" s="22" t="str">
        <f aca="false">'Supplier Orders'!C5</f>
        <v>SKU-A</v>
      </c>
      <c r="D14" s="23" t="str">
        <f aca="false">'Supplier Orders'!D5</f>
        <v>Wireless Earbuds</v>
      </c>
      <c r="E14" s="24" t="n">
        <f aca="false">'Supplier Orders'!E5</f>
        <v>420</v>
      </c>
      <c r="F14" s="24" t="n">
        <f aca="false">'Supplier Orders'!F5</f>
        <v>420</v>
      </c>
      <c r="G14" s="25" t="n">
        <f aca="false">'Supplier Orders'!G5</f>
        <v>46300</v>
      </c>
      <c r="H14" s="25" t="n">
        <f aca="false">IF('Supplier Orders'!H5="","",'Supplier Orders'!H5)</f>
        <v>46299</v>
      </c>
      <c r="I14" s="26" t="n">
        <f aca="false">'Supplier Orders'!I5</f>
        <v>-1</v>
      </c>
      <c r="J14" s="22" t="str">
        <f aca="false">'Supplier Orders'!J5</f>
        <v>On Time</v>
      </c>
      <c r="K14" s="24" t="n">
        <f aca="false">'Supplier Orders'!K5</f>
        <v>0</v>
      </c>
      <c r="L14" s="23" t="str">
        <f aca="false">'Supplier Orders'!L5</f>
        <v>No Exception</v>
      </c>
      <c r="M14" s="22" t="str">
        <f aca="false">'Supplier Orders'!M5</f>
        <v>Normal</v>
      </c>
      <c r="N14" s="23" t="str">
        <f aca="false">'Supplier Orders'!N5</f>
        <v>No action required</v>
      </c>
    </row>
    <row r="15" customFormat="false" ht="15" hidden="false" customHeight="false" outlineLevel="0" collapsed="false">
      <c r="A15" s="22" t="str">
        <f aca="false">'Supplier Orders'!A6</f>
        <v>PO-1002</v>
      </c>
      <c r="B15" s="22" t="str">
        <f aca="false">'Supplier Orders'!B6</f>
        <v>Supplier Alpha</v>
      </c>
      <c r="C15" s="22" t="str">
        <f aca="false">'Supplier Orders'!C6</f>
        <v>SKU-A</v>
      </c>
      <c r="D15" s="23" t="str">
        <f aca="false">'Supplier Orders'!D6</f>
        <v>Wireless Earbuds</v>
      </c>
      <c r="E15" s="24" t="n">
        <f aca="false">'Supplier Orders'!E6</f>
        <v>420</v>
      </c>
      <c r="F15" s="24" t="n">
        <f aca="false">'Supplier Orders'!F6</f>
        <v>420</v>
      </c>
      <c r="G15" s="25" t="n">
        <f aca="false">'Supplier Orders'!G6</f>
        <v>46307</v>
      </c>
      <c r="H15" s="25" t="n">
        <f aca="false">IF('Supplier Orders'!H6="","",'Supplier Orders'!H6)</f>
        <v>46307</v>
      </c>
      <c r="I15" s="26" t="n">
        <f aca="false">'Supplier Orders'!I6</f>
        <v>0</v>
      </c>
      <c r="J15" s="22" t="str">
        <f aca="false">'Supplier Orders'!J6</f>
        <v>On Time</v>
      </c>
      <c r="K15" s="24" t="n">
        <f aca="false">'Supplier Orders'!K6</f>
        <v>0</v>
      </c>
      <c r="L15" s="23" t="str">
        <f aca="false">'Supplier Orders'!L6</f>
        <v>No Exception</v>
      </c>
      <c r="M15" s="22" t="str">
        <f aca="false">'Supplier Orders'!M6</f>
        <v>Normal</v>
      </c>
      <c r="N15" s="23" t="str">
        <f aca="false">'Supplier Orders'!N6</f>
        <v>No action required</v>
      </c>
    </row>
    <row r="16" customFormat="false" ht="15" hidden="false" customHeight="false" outlineLevel="0" collapsed="false">
      <c r="A16" s="22" t="str">
        <f aca="false">'Supplier Orders'!A7</f>
        <v>PO-1003</v>
      </c>
      <c r="B16" s="22" t="str">
        <f aca="false">'Supplier Orders'!B7</f>
        <v>Supplier Alpha</v>
      </c>
      <c r="C16" s="22" t="str">
        <f aca="false">'Supplier Orders'!C7</f>
        <v>SKU-A</v>
      </c>
      <c r="D16" s="23" t="str">
        <f aca="false">'Supplier Orders'!D7</f>
        <v>Wireless Earbuds</v>
      </c>
      <c r="E16" s="24" t="n">
        <f aca="false">'Supplier Orders'!E7</f>
        <v>450</v>
      </c>
      <c r="F16" s="24" t="n">
        <f aca="false">'Supplier Orders'!F7</f>
        <v>400</v>
      </c>
      <c r="G16" s="25" t="n">
        <f aca="false">'Supplier Orders'!G7</f>
        <v>46314</v>
      </c>
      <c r="H16" s="25" t="n">
        <f aca="false">IF('Supplier Orders'!H7="","",'Supplier Orders'!H7)</f>
        <v>46314</v>
      </c>
      <c r="I16" s="26" t="n">
        <f aca="false">'Supplier Orders'!I7</f>
        <v>0</v>
      </c>
      <c r="J16" s="22" t="str">
        <f aca="false">'Supplier Orders'!J7</f>
        <v>On Time but Short</v>
      </c>
      <c r="K16" s="24" t="n">
        <f aca="false">'Supplier Orders'!K7</f>
        <v>50</v>
      </c>
      <c r="L16" s="23" t="str">
        <f aca="false">'Supplier Orders'!L7</f>
        <v>Short Delivery</v>
      </c>
      <c r="M16" s="22" t="str">
        <f aca="false">'Supplier Orders'!M7</f>
        <v>High</v>
      </c>
      <c r="N16" s="23" t="str">
        <f aca="false">'Supplier Orders'!N7</f>
        <v>Request quantity recovery</v>
      </c>
    </row>
    <row r="17" customFormat="false" ht="15" hidden="false" customHeight="false" outlineLevel="0" collapsed="false">
      <c r="A17" s="22" t="str">
        <f aca="false">'Supplier Orders'!A8</f>
        <v>PO-1004</v>
      </c>
      <c r="B17" s="22" t="str">
        <f aca="false">'Supplier Orders'!B8</f>
        <v>Supplier Alpha</v>
      </c>
      <c r="C17" s="22" t="str">
        <f aca="false">'Supplier Orders'!C8</f>
        <v>SKU-A</v>
      </c>
      <c r="D17" s="23" t="str">
        <f aca="false">'Supplier Orders'!D8</f>
        <v>Wireless Earbuds</v>
      </c>
      <c r="E17" s="24" t="n">
        <f aca="false">'Supplier Orders'!E8</f>
        <v>450</v>
      </c>
      <c r="F17" s="24" t="n">
        <f aca="false">'Supplier Orders'!F8</f>
        <v>450</v>
      </c>
      <c r="G17" s="25" t="n">
        <f aca="false">'Supplier Orders'!G8</f>
        <v>46321</v>
      </c>
      <c r="H17" s="25" t="n">
        <f aca="false">IF('Supplier Orders'!H8="","",'Supplier Orders'!H8)</f>
        <v>46322</v>
      </c>
      <c r="I17" s="26" t="n">
        <f aca="false">'Supplier Orders'!I8</f>
        <v>1</v>
      </c>
      <c r="J17" s="22" t="str">
        <f aca="false">'Supplier Orders'!J8</f>
        <v>Late</v>
      </c>
      <c r="K17" s="24" t="n">
        <f aca="false">'Supplier Orders'!K8</f>
        <v>0</v>
      </c>
      <c r="L17" s="23" t="str">
        <f aca="false">'Supplier Orders'!L8</f>
        <v>Late Delivery</v>
      </c>
      <c r="M17" s="22" t="str">
        <f aca="false">'Supplier Orders'!M8</f>
        <v>Medium</v>
      </c>
      <c r="N17" s="23" t="str">
        <f aca="false">'Supplier Orders'!N8</f>
        <v>Confirm revised delivery date</v>
      </c>
    </row>
    <row r="18" customFormat="false" ht="15" hidden="false" customHeight="false" outlineLevel="0" collapsed="false">
      <c r="A18" s="22" t="str">
        <f aca="false">'Supplier Orders'!A9</f>
        <v>PO-1005</v>
      </c>
      <c r="B18" s="22" t="str">
        <f aca="false">'Supplier Orders'!B9</f>
        <v>Supplier Alpha</v>
      </c>
      <c r="C18" s="22" t="str">
        <f aca="false">'Supplier Orders'!C9</f>
        <v>SKU-A</v>
      </c>
      <c r="D18" s="23" t="str">
        <f aca="false">'Supplier Orders'!D9</f>
        <v>Wireless Earbuds</v>
      </c>
      <c r="E18" s="24" t="n">
        <f aca="false">'Supplier Orders'!E9</f>
        <v>480</v>
      </c>
      <c r="F18" s="24" t="n">
        <f aca="false">'Supplier Orders'!F9</f>
        <v>480</v>
      </c>
      <c r="G18" s="25" t="n">
        <f aca="false">'Supplier Orders'!G9</f>
        <v>46328</v>
      </c>
      <c r="H18" s="25" t="n">
        <f aca="false">IF('Supplier Orders'!H9="","",'Supplier Orders'!H9)</f>
        <v>46327</v>
      </c>
      <c r="I18" s="26" t="n">
        <f aca="false">'Supplier Orders'!I9</f>
        <v>-1</v>
      </c>
      <c r="J18" s="22" t="str">
        <f aca="false">'Supplier Orders'!J9</f>
        <v>On Time</v>
      </c>
      <c r="K18" s="24" t="n">
        <f aca="false">'Supplier Orders'!K9</f>
        <v>0</v>
      </c>
      <c r="L18" s="23" t="str">
        <f aca="false">'Supplier Orders'!L9</f>
        <v>No Exception</v>
      </c>
      <c r="M18" s="22" t="str">
        <f aca="false">'Supplier Orders'!M9</f>
        <v>Normal</v>
      </c>
      <c r="N18" s="23" t="str">
        <f aca="false">'Supplier Orders'!N9</f>
        <v>No action required</v>
      </c>
    </row>
    <row r="19" customFormat="false" ht="15" hidden="false" customHeight="false" outlineLevel="0" collapsed="false">
      <c r="A19" s="22" t="str">
        <f aca="false">'Supplier Orders'!A10</f>
        <v>PO-1006</v>
      </c>
      <c r="B19" s="22" t="str">
        <f aca="false">'Supplier Orders'!B10</f>
        <v>Supplier Alpha</v>
      </c>
      <c r="C19" s="22" t="str">
        <f aca="false">'Supplier Orders'!C10</f>
        <v>SKU-A</v>
      </c>
      <c r="D19" s="23" t="str">
        <f aca="false">'Supplier Orders'!D10</f>
        <v>Wireless Earbuds</v>
      </c>
      <c r="E19" s="24" t="n">
        <f aca="false">'Supplier Orders'!E10</f>
        <v>480</v>
      </c>
      <c r="F19" s="24" t="n">
        <f aca="false">'Supplier Orders'!F10</f>
        <v>480</v>
      </c>
      <c r="G19" s="25" t="n">
        <f aca="false">'Supplier Orders'!G10</f>
        <v>46335</v>
      </c>
      <c r="H19" s="25" t="str">
        <f aca="false">IF('Supplier Orders'!H10="","",'Supplier Orders'!H10)</f>
        <v/>
      </c>
      <c r="I19" s="26" t="str">
        <f aca="false">'Supplier Orders'!I10</f>
        <v/>
      </c>
      <c r="J19" s="22" t="str">
        <f aca="false">'Supplier Orders'!J10</f>
        <v>Pending</v>
      </c>
      <c r="K19" s="24" t="n">
        <f aca="false">'Supplier Orders'!K10</f>
        <v>0</v>
      </c>
      <c r="L19" s="23" t="str">
        <f aca="false">'Supplier Orders'!L10</f>
        <v>Pending Confirmation</v>
      </c>
      <c r="M19" s="22" t="str">
        <f aca="false">'Supplier Orders'!M10</f>
        <v>Medium</v>
      </c>
      <c r="N19" s="23" t="str">
        <f aca="false">'Supplier Orders'!N10</f>
        <v>Follow up for supplier confirmation</v>
      </c>
    </row>
    <row r="20" customFormat="false" ht="28.35" hidden="false" customHeight="false" outlineLevel="0" collapsed="false">
      <c r="A20" s="22" t="str">
        <f aca="false">'Supplier Orders'!A11</f>
        <v>PO-2001</v>
      </c>
      <c r="B20" s="22" t="str">
        <f aca="false">'Supplier Orders'!B11</f>
        <v>Supplier Beta</v>
      </c>
      <c r="C20" s="22" t="str">
        <f aca="false">'Supplier Orders'!C11</f>
        <v>SKU-B</v>
      </c>
      <c r="D20" s="23" t="str">
        <f aca="false">'Supplier Orders'!D11</f>
        <v>Phone Case (Bulk Pack)</v>
      </c>
      <c r="E20" s="24" t="n">
        <f aca="false">'Supplier Orders'!E11</f>
        <v>800</v>
      </c>
      <c r="F20" s="24" t="n">
        <f aca="false">'Supplier Orders'!F11</f>
        <v>800</v>
      </c>
      <c r="G20" s="25" t="n">
        <f aca="false">'Supplier Orders'!G11</f>
        <v>46300</v>
      </c>
      <c r="H20" s="25" t="n">
        <f aca="false">IF('Supplier Orders'!H11="","",'Supplier Orders'!H11)</f>
        <v>46300</v>
      </c>
      <c r="I20" s="26" t="n">
        <f aca="false">'Supplier Orders'!I11</f>
        <v>0</v>
      </c>
      <c r="J20" s="22" t="str">
        <f aca="false">'Supplier Orders'!J11</f>
        <v>On Time</v>
      </c>
      <c r="K20" s="24" t="n">
        <f aca="false">'Supplier Orders'!K11</f>
        <v>0</v>
      </c>
      <c r="L20" s="23" t="str">
        <f aca="false">'Supplier Orders'!L11</f>
        <v>No Exception</v>
      </c>
      <c r="M20" s="22" t="str">
        <f aca="false">'Supplier Orders'!M11</f>
        <v>Normal</v>
      </c>
      <c r="N20" s="23" t="str">
        <f aca="false">'Supplier Orders'!N11</f>
        <v>No action required</v>
      </c>
    </row>
    <row r="21" customFormat="false" ht="28.35" hidden="false" customHeight="false" outlineLevel="0" collapsed="false">
      <c r="A21" s="22" t="str">
        <f aca="false">'Supplier Orders'!A12</f>
        <v>PO-2002</v>
      </c>
      <c r="B21" s="22" t="str">
        <f aca="false">'Supplier Orders'!B12</f>
        <v>Supplier Beta</v>
      </c>
      <c r="C21" s="22" t="str">
        <f aca="false">'Supplier Orders'!C12</f>
        <v>SKU-B</v>
      </c>
      <c r="D21" s="23" t="str">
        <f aca="false">'Supplier Orders'!D12</f>
        <v>Phone Case (Bulk Pack)</v>
      </c>
      <c r="E21" s="24" t="n">
        <f aca="false">'Supplier Orders'!E12</f>
        <v>800</v>
      </c>
      <c r="F21" s="24" t="n">
        <f aca="false">'Supplier Orders'!F12</f>
        <v>800</v>
      </c>
      <c r="G21" s="25" t="n">
        <f aca="false">'Supplier Orders'!G12</f>
        <v>46307</v>
      </c>
      <c r="H21" s="25" t="n">
        <f aca="false">IF('Supplier Orders'!H12="","",'Supplier Orders'!H12)</f>
        <v>46307</v>
      </c>
      <c r="I21" s="26" t="n">
        <f aca="false">'Supplier Orders'!I12</f>
        <v>0</v>
      </c>
      <c r="J21" s="22" t="str">
        <f aca="false">'Supplier Orders'!J12</f>
        <v>On Time</v>
      </c>
      <c r="K21" s="24" t="n">
        <f aca="false">'Supplier Orders'!K12</f>
        <v>0</v>
      </c>
      <c r="L21" s="23" t="str">
        <f aca="false">'Supplier Orders'!L12</f>
        <v>No Exception</v>
      </c>
      <c r="M21" s="22" t="str">
        <f aca="false">'Supplier Orders'!M12</f>
        <v>Normal</v>
      </c>
      <c r="N21" s="23" t="str">
        <f aca="false">'Supplier Orders'!N12</f>
        <v>No action required</v>
      </c>
    </row>
    <row r="22" customFormat="false" ht="28.35" hidden="false" customHeight="false" outlineLevel="0" collapsed="false">
      <c r="A22" s="22" t="str">
        <f aca="false">'Supplier Orders'!A13</f>
        <v>PO-2003</v>
      </c>
      <c r="B22" s="22" t="str">
        <f aca="false">'Supplier Orders'!B13</f>
        <v>Supplier Beta</v>
      </c>
      <c r="C22" s="22" t="str">
        <f aca="false">'Supplier Orders'!C13</f>
        <v>SKU-B</v>
      </c>
      <c r="D22" s="23" t="str">
        <f aca="false">'Supplier Orders'!D13</f>
        <v>Phone Case (Bulk Pack)</v>
      </c>
      <c r="E22" s="24" t="n">
        <f aca="false">'Supplier Orders'!E13</f>
        <v>820</v>
      </c>
      <c r="F22" s="24" t="n">
        <f aca="false">'Supplier Orders'!F13</f>
        <v>820</v>
      </c>
      <c r="G22" s="25" t="n">
        <f aca="false">'Supplier Orders'!G13</f>
        <v>46314</v>
      </c>
      <c r="H22" s="25" t="n">
        <f aca="false">IF('Supplier Orders'!H13="","",'Supplier Orders'!H13)</f>
        <v>46314</v>
      </c>
      <c r="I22" s="26" t="n">
        <f aca="false">'Supplier Orders'!I13</f>
        <v>0</v>
      </c>
      <c r="J22" s="22" t="str">
        <f aca="false">'Supplier Orders'!J13</f>
        <v>On Time</v>
      </c>
      <c r="K22" s="24" t="n">
        <f aca="false">'Supplier Orders'!K13</f>
        <v>0</v>
      </c>
      <c r="L22" s="23" t="str">
        <f aca="false">'Supplier Orders'!L13</f>
        <v>No Exception</v>
      </c>
      <c r="M22" s="22" t="str">
        <f aca="false">'Supplier Orders'!M13</f>
        <v>Normal</v>
      </c>
      <c r="N22" s="23" t="str">
        <f aca="false">'Supplier Orders'!N13</f>
        <v>No action required</v>
      </c>
    </row>
    <row r="23" customFormat="false" ht="28.35" hidden="false" customHeight="false" outlineLevel="0" collapsed="false">
      <c r="A23" s="22" t="str">
        <f aca="false">'Supplier Orders'!A14</f>
        <v>PO-2004</v>
      </c>
      <c r="B23" s="22" t="str">
        <f aca="false">'Supplier Orders'!B14</f>
        <v>Supplier Beta</v>
      </c>
      <c r="C23" s="22" t="str">
        <f aca="false">'Supplier Orders'!C14</f>
        <v>SKU-B</v>
      </c>
      <c r="D23" s="23" t="str">
        <f aca="false">'Supplier Orders'!D14</f>
        <v>Phone Case (Bulk Pack)</v>
      </c>
      <c r="E23" s="24" t="n">
        <f aca="false">'Supplier Orders'!E14</f>
        <v>850</v>
      </c>
      <c r="F23" s="24" t="n">
        <f aca="false">'Supplier Orders'!F14</f>
        <v>850</v>
      </c>
      <c r="G23" s="25" t="n">
        <f aca="false">'Supplier Orders'!G14</f>
        <v>46321</v>
      </c>
      <c r="H23" s="25" t="n">
        <f aca="false">IF('Supplier Orders'!H14="","",'Supplier Orders'!H14)</f>
        <v>46324</v>
      </c>
      <c r="I23" s="26" t="n">
        <f aca="false">'Supplier Orders'!I14</f>
        <v>3</v>
      </c>
      <c r="J23" s="22" t="str">
        <f aca="false">'Supplier Orders'!J14</f>
        <v>Late</v>
      </c>
      <c r="K23" s="24" t="n">
        <f aca="false">'Supplier Orders'!K14</f>
        <v>0</v>
      </c>
      <c r="L23" s="23" t="str">
        <f aca="false">'Supplier Orders'!L14</f>
        <v>Late Delivery</v>
      </c>
      <c r="M23" s="22" t="str">
        <f aca="false">'Supplier Orders'!M14</f>
        <v>Medium</v>
      </c>
      <c r="N23" s="23" t="str">
        <f aca="false">'Supplier Orders'!N14</f>
        <v>Confirm revised delivery date</v>
      </c>
    </row>
    <row r="24" customFormat="false" ht="28.35" hidden="false" customHeight="false" outlineLevel="0" collapsed="false">
      <c r="A24" s="22" t="str">
        <f aca="false">'Supplier Orders'!A15</f>
        <v>PO-2005</v>
      </c>
      <c r="B24" s="22" t="str">
        <f aca="false">'Supplier Orders'!B15</f>
        <v>Supplier Beta</v>
      </c>
      <c r="C24" s="22" t="str">
        <f aca="false">'Supplier Orders'!C15</f>
        <v>SKU-B</v>
      </c>
      <c r="D24" s="23" t="str">
        <f aca="false">'Supplier Orders'!D15</f>
        <v>Phone Case (Bulk Pack)</v>
      </c>
      <c r="E24" s="24" t="n">
        <f aca="false">'Supplier Orders'!E15</f>
        <v>850</v>
      </c>
      <c r="F24" s="24" t="n">
        <f aca="false">'Supplier Orders'!F15</f>
        <v>850</v>
      </c>
      <c r="G24" s="25" t="n">
        <f aca="false">'Supplier Orders'!G15</f>
        <v>46328</v>
      </c>
      <c r="H24" s="25" t="n">
        <f aca="false">IF('Supplier Orders'!H15="","",'Supplier Orders'!H15)</f>
        <v>46328</v>
      </c>
      <c r="I24" s="26" t="n">
        <f aca="false">'Supplier Orders'!I15</f>
        <v>0</v>
      </c>
      <c r="J24" s="22" t="str">
        <f aca="false">'Supplier Orders'!J15</f>
        <v>On Time</v>
      </c>
      <c r="K24" s="24" t="n">
        <f aca="false">'Supplier Orders'!K15</f>
        <v>0</v>
      </c>
      <c r="L24" s="23" t="str">
        <f aca="false">'Supplier Orders'!L15</f>
        <v>No Exception</v>
      </c>
      <c r="M24" s="22" t="str">
        <f aca="false">'Supplier Orders'!M15</f>
        <v>Normal</v>
      </c>
      <c r="N24" s="23" t="str">
        <f aca="false">'Supplier Orders'!N15</f>
        <v>No action required</v>
      </c>
    </row>
    <row r="25" customFormat="false" ht="28.35" hidden="false" customHeight="false" outlineLevel="0" collapsed="false">
      <c r="A25" s="22" t="str">
        <f aca="false">'Supplier Orders'!A16</f>
        <v>PO-2006</v>
      </c>
      <c r="B25" s="22" t="str">
        <f aca="false">'Supplier Orders'!B16</f>
        <v>Supplier Beta</v>
      </c>
      <c r="C25" s="22" t="str">
        <f aca="false">'Supplier Orders'!C16</f>
        <v>SKU-B</v>
      </c>
      <c r="D25" s="23" t="str">
        <f aca="false">'Supplier Orders'!D16</f>
        <v>Phone Case (Bulk Pack)</v>
      </c>
      <c r="E25" s="24" t="n">
        <f aca="false">'Supplier Orders'!E16</f>
        <v>900</v>
      </c>
      <c r="F25" s="24" t="n">
        <f aca="false">'Supplier Orders'!F16</f>
        <v>900</v>
      </c>
      <c r="G25" s="25" t="n">
        <f aca="false">'Supplier Orders'!G16</f>
        <v>46335</v>
      </c>
      <c r="H25" s="25" t="str">
        <f aca="false">IF('Supplier Orders'!H16="","",'Supplier Orders'!H16)</f>
        <v/>
      </c>
      <c r="I25" s="26" t="str">
        <f aca="false">'Supplier Orders'!I16</f>
        <v/>
      </c>
      <c r="J25" s="22" t="str">
        <f aca="false">'Supplier Orders'!J16</f>
        <v>Pending</v>
      </c>
      <c r="K25" s="24" t="n">
        <f aca="false">'Supplier Orders'!K16</f>
        <v>0</v>
      </c>
      <c r="L25" s="23" t="str">
        <f aca="false">'Supplier Orders'!L16</f>
        <v>Pending Confirmation</v>
      </c>
      <c r="M25" s="22" t="str">
        <f aca="false">'Supplier Orders'!M16</f>
        <v>Medium</v>
      </c>
      <c r="N25" s="23" t="str">
        <f aca="false">'Supplier Orders'!N16</f>
        <v>Follow up for supplier confirmation</v>
      </c>
    </row>
    <row r="26" customFormat="false" ht="28.35" hidden="false" customHeight="false" outlineLevel="0" collapsed="false">
      <c r="A26" s="22" t="str">
        <f aca="false">'Supplier Orders'!A17</f>
        <v>PO-3001</v>
      </c>
      <c r="B26" s="22" t="str">
        <f aca="false">'Supplier Orders'!B17</f>
        <v>Supplier Gamma</v>
      </c>
      <c r="C26" s="22" t="str">
        <f aca="false">'Supplier Orders'!C17</f>
        <v>SKU-C</v>
      </c>
      <c r="D26" s="23" t="str">
        <f aca="false">'Supplier Orders'!D17</f>
        <v>USB-C Charging Cable</v>
      </c>
      <c r="E26" s="24" t="n">
        <f aca="false">'Supplier Orders'!E17</f>
        <v>300</v>
      </c>
      <c r="F26" s="24" t="n">
        <f aca="false">'Supplier Orders'!F17</f>
        <v>300</v>
      </c>
      <c r="G26" s="25" t="n">
        <f aca="false">'Supplier Orders'!G17</f>
        <v>46300</v>
      </c>
      <c r="H26" s="25" t="n">
        <f aca="false">IF('Supplier Orders'!H17="","",'Supplier Orders'!H17)</f>
        <v>46300</v>
      </c>
      <c r="I26" s="26" t="n">
        <f aca="false">'Supplier Orders'!I17</f>
        <v>0</v>
      </c>
      <c r="J26" s="22" t="str">
        <f aca="false">'Supplier Orders'!J17</f>
        <v>On Time</v>
      </c>
      <c r="K26" s="24" t="n">
        <f aca="false">'Supplier Orders'!K17</f>
        <v>0</v>
      </c>
      <c r="L26" s="23" t="str">
        <f aca="false">'Supplier Orders'!L17</f>
        <v>No Exception</v>
      </c>
      <c r="M26" s="22" t="str">
        <f aca="false">'Supplier Orders'!M17</f>
        <v>Normal</v>
      </c>
      <c r="N26" s="23" t="str">
        <f aca="false">'Supplier Orders'!N17</f>
        <v>No action required</v>
      </c>
    </row>
    <row r="27" customFormat="false" ht="28.35" hidden="false" customHeight="false" outlineLevel="0" collapsed="false">
      <c r="A27" s="22" t="str">
        <f aca="false">'Supplier Orders'!A18</f>
        <v>PO-3002</v>
      </c>
      <c r="B27" s="22" t="str">
        <f aca="false">'Supplier Orders'!B18</f>
        <v>Supplier Gamma</v>
      </c>
      <c r="C27" s="22" t="str">
        <f aca="false">'Supplier Orders'!C18</f>
        <v>SKU-C</v>
      </c>
      <c r="D27" s="23" t="str">
        <f aca="false">'Supplier Orders'!D18</f>
        <v>USB-C Charging Cable</v>
      </c>
      <c r="E27" s="24" t="n">
        <f aca="false">'Supplier Orders'!E18</f>
        <v>300</v>
      </c>
      <c r="F27" s="24" t="n">
        <f aca="false">'Supplier Orders'!F18</f>
        <v>280</v>
      </c>
      <c r="G27" s="25" t="n">
        <f aca="false">'Supplier Orders'!G18</f>
        <v>46307</v>
      </c>
      <c r="H27" s="25" t="n">
        <f aca="false">IF('Supplier Orders'!H18="","",'Supplier Orders'!H18)</f>
        <v>46309</v>
      </c>
      <c r="I27" s="26" t="n">
        <f aca="false">'Supplier Orders'!I18</f>
        <v>2</v>
      </c>
      <c r="J27" s="22" t="str">
        <f aca="false">'Supplier Orders'!J18</f>
        <v>Late &amp; Short</v>
      </c>
      <c r="K27" s="24" t="n">
        <f aca="false">'Supplier Orders'!K18</f>
        <v>20</v>
      </c>
      <c r="L27" s="23" t="str">
        <f aca="false">'Supplier Orders'!L18</f>
        <v>Late &amp; Short</v>
      </c>
      <c r="M27" s="22" t="str">
        <f aca="false">'Supplier Orders'!M18</f>
        <v>High</v>
      </c>
      <c r="N27" s="23" t="str">
        <f aca="false">'Supplier Orders'!N18</f>
        <v>Expedite and confirm recovery quantity</v>
      </c>
    </row>
    <row r="28" customFormat="false" ht="28.35" hidden="false" customHeight="false" outlineLevel="0" collapsed="false">
      <c r="A28" s="22" t="str">
        <f aca="false">'Supplier Orders'!A19</f>
        <v>PO-3003</v>
      </c>
      <c r="B28" s="22" t="str">
        <f aca="false">'Supplier Orders'!B19</f>
        <v>Supplier Gamma</v>
      </c>
      <c r="C28" s="22" t="str">
        <f aca="false">'Supplier Orders'!C19</f>
        <v>SKU-C</v>
      </c>
      <c r="D28" s="23" t="str">
        <f aca="false">'Supplier Orders'!D19</f>
        <v>USB-C Charging Cable</v>
      </c>
      <c r="E28" s="24" t="n">
        <f aca="false">'Supplier Orders'!E19</f>
        <v>300</v>
      </c>
      <c r="F28" s="24" t="n">
        <f aca="false">'Supplier Orders'!F19</f>
        <v>300</v>
      </c>
      <c r="G28" s="25" t="n">
        <f aca="false">'Supplier Orders'!G19</f>
        <v>46314</v>
      </c>
      <c r="H28" s="25" t="n">
        <f aca="false">IF('Supplier Orders'!H19="","",'Supplier Orders'!H19)</f>
        <v>46314</v>
      </c>
      <c r="I28" s="26" t="n">
        <f aca="false">'Supplier Orders'!I19</f>
        <v>0</v>
      </c>
      <c r="J28" s="22" t="str">
        <f aca="false">'Supplier Orders'!J19</f>
        <v>On Time</v>
      </c>
      <c r="K28" s="24" t="n">
        <f aca="false">'Supplier Orders'!K19</f>
        <v>0</v>
      </c>
      <c r="L28" s="23" t="str">
        <f aca="false">'Supplier Orders'!L19</f>
        <v>No Exception</v>
      </c>
      <c r="M28" s="22" t="str">
        <f aca="false">'Supplier Orders'!M19</f>
        <v>Normal</v>
      </c>
      <c r="N28" s="23" t="str">
        <f aca="false">'Supplier Orders'!N19</f>
        <v>No action required</v>
      </c>
    </row>
    <row r="29" customFormat="false" ht="28.35" hidden="false" customHeight="false" outlineLevel="0" collapsed="false">
      <c r="A29" s="22" t="str">
        <f aca="false">'Supplier Orders'!A20</f>
        <v>PO-3004</v>
      </c>
      <c r="B29" s="22" t="str">
        <f aca="false">'Supplier Orders'!B20</f>
        <v>Supplier Gamma</v>
      </c>
      <c r="C29" s="22" t="str">
        <f aca="false">'Supplier Orders'!C20</f>
        <v>SKU-C</v>
      </c>
      <c r="D29" s="23" t="str">
        <f aca="false">'Supplier Orders'!D20</f>
        <v>USB-C Charging Cable</v>
      </c>
      <c r="E29" s="24" t="n">
        <f aca="false">'Supplier Orders'!E20</f>
        <v>320</v>
      </c>
      <c r="F29" s="24" t="n">
        <f aca="false">'Supplier Orders'!F20</f>
        <v>320</v>
      </c>
      <c r="G29" s="25" t="n">
        <f aca="false">'Supplier Orders'!G20</f>
        <v>46321</v>
      </c>
      <c r="H29" s="25" t="n">
        <f aca="false">IF('Supplier Orders'!H20="","",'Supplier Orders'!H20)</f>
        <v>46323</v>
      </c>
      <c r="I29" s="26" t="n">
        <f aca="false">'Supplier Orders'!I20</f>
        <v>2</v>
      </c>
      <c r="J29" s="22" t="str">
        <f aca="false">'Supplier Orders'!J20</f>
        <v>Late</v>
      </c>
      <c r="K29" s="24" t="n">
        <f aca="false">'Supplier Orders'!K20</f>
        <v>0</v>
      </c>
      <c r="L29" s="23" t="str">
        <f aca="false">'Supplier Orders'!L20</f>
        <v>Late Delivery</v>
      </c>
      <c r="M29" s="22" t="str">
        <f aca="false">'Supplier Orders'!M20</f>
        <v>Medium</v>
      </c>
      <c r="N29" s="23" t="str">
        <f aca="false">'Supplier Orders'!N20</f>
        <v>Confirm revised delivery date</v>
      </c>
    </row>
    <row r="30" customFormat="false" ht="28.35" hidden="false" customHeight="false" outlineLevel="0" collapsed="false">
      <c r="A30" s="22" t="str">
        <f aca="false">'Supplier Orders'!A21</f>
        <v>PO-3005</v>
      </c>
      <c r="B30" s="22" t="str">
        <f aca="false">'Supplier Orders'!B21</f>
        <v>Supplier Gamma</v>
      </c>
      <c r="C30" s="22" t="str">
        <f aca="false">'Supplier Orders'!C21</f>
        <v>SKU-C</v>
      </c>
      <c r="D30" s="23" t="str">
        <f aca="false">'Supplier Orders'!D21</f>
        <v>USB-C Charging Cable</v>
      </c>
      <c r="E30" s="24" t="n">
        <f aca="false">'Supplier Orders'!E21</f>
        <v>320</v>
      </c>
      <c r="F30" s="24" t="n">
        <f aca="false">'Supplier Orders'!F21</f>
        <v>320</v>
      </c>
      <c r="G30" s="25" t="n">
        <f aca="false">'Supplier Orders'!G21</f>
        <v>46328</v>
      </c>
      <c r="H30" s="25" t="n">
        <f aca="false">IF('Supplier Orders'!H21="","",'Supplier Orders'!H21)</f>
        <v>46327</v>
      </c>
      <c r="I30" s="26" t="n">
        <f aca="false">'Supplier Orders'!I21</f>
        <v>-1</v>
      </c>
      <c r="J30" s="22" t="str">
        <f aca="false">'Supplier Orders'!J21</f>
        <v>On Time</v>
      </c>
      <c r="K30" s="24" t="n">
        <f aca="false">'Supplier Orders'!K21</f>
        <v>0</v>
      </c>
      <c r="L30" s="23" t="str">
        <f aca="false">'Supplier Orders'!L21</f>
        <v>No Exception</v>
      </c>
      <c r="M30" s="22" t="str">
        <f aca="false">'Supplier Orders'!M21</f>
        <v>Normal</v>
      </c>
      <c r="N30" s="23" t="str">
        <f aca="false">'Supplier Orders'!N21</f>
        <v>No action required</v>
      </c>
    </row>
    <row r="31" customFormat="false" ht="28.35" hidden="false" customHeight="false" outlineLevel="0" collapsed="false">
      <c r="A31" s="22" t="str">
        <f aca="false">'Supplier Orders'!A22</f>
        <v>PO-3006</v>
      </c>
      <c r="B31" s="22" t="str">
        <f aca="false">'Supplier Orders'!B22</f>
        <v>Supplier Gamma</v>
      </c>
      <c r="C31" s="22" t="str">
        <f aca="false">'Supplier Orders'!C22</f>
        <v>SKU-C</v>
      </c>
      <c r="D31" s="23" t="str">
        <f aca="false">'Supplier Orders'!D22</f>
        <v>USB-C Charging Cable</v>
      </c>
      <c r="E31" s="24" t="n">
        <f aca="false">'Supplier Orders'!E22</f>
        <v>340</v>
      </c>
      <c r="F31" s="24" t="n">
        <f aca="false">'Supplier Orders'!F22</f>
        <v>340</v>
      </c>
      <c r="G31" s="25" t="n">
        <f aca="false">'Supplier Orders'!G22</f>
        <v>46335</v>
      </c>
      <c r="H31" s="25" t="str">
        <f aca="false">IF('Supplier Orders'!H22="","",'Supplier Orders'!H22)</f>
        <v/>
      </c>
      <c r="I31" s="26" t="str">
        <f aca="false">'Supplier Orders'!I22</f>
        <v/>
      </c>
      <c r="J31" s="22" t="str">
        <f aca="false">'Supplier Orders'!J22</f>
        <v>Pending</v>
      </c>
      <c r="K31" s="24" t="n">
        <f aca="false">'Supplier Orders'!K22</f>
        <v>0</v>
      </c>
      <c r="L31" s="23" t="str">
        <f aca="false">'Supplier Orders'!L22</f>
        <v>Pending Confirmation</v>
      </c>
      <c r="M31" s="22" t="str">
        <f aca="false">'Supplier Orders'!M22</f>
        <v>Medium</v>
      </c>
      <c r="N31" s="23" t="str">
        <f aca="false">'Supplier Orders'!N22</f>
        <v>Follow up for supplier confirmation</v>
      </c>
    </row>
    <row r="32" customFormat="false" ht="15" hidden="false" customHeight="false" outlineLevel="0" collapsed="false">
      <c r="A32" s="22" t="str">
        <f aca="false">'Supplier Orders'!A23</f>
        <v>PO-4001</v>
      </c>
      <c r="B32" s="22" t="str">
        <f aca="false">'Supplier Orders'!B23</f>
        <v>Supplier Delta</v>
      </c>
      <c r="C32" s="22" t="str">
        <f aca="false">'Supplier Orders'!C23</f>
        <v>SKU-D</v>
      </c>
      <c r="D32" s="23" t="str">
        <f aca="false">'Supplier Orders'!D23</f>
        <v>Laptop Stand</v>
      </c>
      <c r="E32" s="24" t="n">
        <f aca="false">'Supplier Orders'!E23</f>
        <v>260</v>
      </c>
      <c r="F32" s="24" t="n">
        <f aca="false">'Supplier Orders'!F23</f>
        <v>260</v>
      </c>
      <c r="G32" s="25" t="n">
        <f aca="false">'Supplier Orders'!G23</f>
        <v>46300</v>
      </c>
      <c r="H32" s="25" t="n">
        <f aca="false">IF('Supplier Orders'!H23="","",'Supplier Orders'!H23)</f>
        <v>46300</v>
      </c>
      <c r="I32" s="26" t="n">
        <f aca="false">'Supplier Orders'!I23</f>
        <v>0</v>
      </c>
      <c r="J32" s="22" t="str">
        <f aca="false">'Supplier Orders'!J23</f>
        <v>On Time</v>
      </c>
      <c r="K32" s="24" t="n">
        <f aca="false">'Supplier Orders'!K23</f>
        <v>0</v>
      </c>
      <c r="L32" s="23" t="str">
        <f aca="false">'Supplier Orders'!L23</f>
        <v>No Exception</v>
      </c>
      <c r="M32" s="22" t="str">
        <f aca="false">'Supplier Orders'!M23</f>
        <v>Normal</v>
      </c>
      <c r="N32" s="23" t="str">
        <f aca="false">'Supplier Orders'!N23</f>
        <v>No action required</v>
      </c>
    </row>
    <row r="33" customFormat="false" ht="15" hidden="false" customHeight="false" outlineLevel="0" collapsed="false">
      <c r="A33" s="22" t="str">
        <f aca="false">'Supplier Orders'!A24</f>
        <v>PO-4002</v>
      </c>
      <c r="B33" s="22" t="str">
        <f aca="false">'Supplier Orders'!B24</f>
        <v>Supplier Delta</v>
      </c>
      <c r="C33" s="22" t="str">
        <f aca="false">'Supplier Orders'!C24</f>
        <v>SKU-D</v>
      </c>
      <c r="D33" s="23" t="str">
        <f aca="false">'Supplier Orders'!D24</f>
        <v>Laptop Stand</v>
      </c>
      <c r="E33" s="24" t="n">
        <f aca="false">'Supplier Orders'!E24</f>
        <v>260</v>
      </c>
      <c r="F33" s="24" t="n">
        <f aca="false">'Supplier Orders'!F24</f>
        <v>260</v>
      </c>
      <c r="G33" s="25" t="n">
        <f aca="false">'Supplier Orders'!G24</f>
        <v>46307</v>
      </c>
      <c r="H33" s="25" t="n">
        <f aca="false">IF('Supplier Orders'!H24="","",'Supplier Orders'!H24)</f>
        <v>46306</v>
      </c>
      <c r="I33" s="26" t="n">
        <f aca="false">'Supplier Orders'!I24</f>
        <v>-1</v>
      </c>
      <c r="J33" s="22" t="str">
        <f aca="false">'Supplier Orders'!J24</f>
        <v>On Time</v>
      </c>
      <c r="K33" s="24" t="n">
        <f aca="false">'Supplier Orders'!K24</f>
        <v>0</v>
      </c>
      <c r="L33" s="23" t="str">
        <f aca="false">'Supplier Orders'!L24</f>
        <v>No Exception</v>
      </c>
      <c r="M33" s="22" t="str">
        <f aca="false">'Supplier Orders'!M24</f>
        <v>Normal</v>
      </c>
      <c r="N33" s="23" t="str">
        <f aca="false">'Supplier Orders'!N24</f>
        <v>No action required</v>
      </c>
    </row>
    <row r="34" customFormat="false" ht="15" hidden="false" customHeight="false" outlineLevel="0" collapsed="false">
      <c r="A34" s="22" t="str">
        <f aca="false">'Supplier Orders'!A25</f>
        <v>PO-4003</v>
      </c>
      <c r="B34" s="22" t="str">
        <f aca="false">'Supplier Orders'!B25</f>
        <v>Supplier Delta</v>
      </c>
      <c r="C34" s="22" t="str">
        <f aca="false">'Supplier Orders'!C25</f>
        <v>SKU-D</v>
      </c>
      <c r="D34" s="23" t="str">
        <f aca="false">'Supplier Orders'!D25</f>
        <v>Laptop Stand</v>
      </c>
      <c r="E34" s="24" t="n">
        <f aca="false">'Supplier Orders'!E25</f>
        <v>280</v>
      </c>
      <c r="F34" s="24" t="n">
        <f aca="false">'Supplier Orders'!F25</f>
        <v>280</v>
      </c>
      <c r="G34" s="25" t="n">
        <f aca="false">'Supplier Orders'!G25</f>
        <v>46314</v>
      </c>
      <c r="H34" s="25" t="n">
        <f aca="false">IF('Supplier Orders'!H25="","",'Supplier Orders'!H25)</f>
        <v>46318</v>
      </c>
      <c r="I34" s="26" t="n">
        <f aca="false">'Supplier Orders'!I25</f>
        <v>4</v>
      </c>
      <c r="J34" s="22" t="str">
        <f aca="false">'Supplier Orders'!J25</f>
        <v>Late</v>
      </c>
      <c r="K34" s="24" t="n">
        <f aca="false">'Supplier Orders'!K25</f>
        <v>0</v>
      </c>
      <c r="L34" s="23" t="str">
        <f aca="false">'Supplier Orders'!L25</f>
        <v>Late Delivery</v>
      </c>
      <c r="M34" s="22" t="str">
        <f aca="false">'Supplier Orders'!M25</f>
        <v>Medium</v>
      </c>
      <c r="N34" s="23" t="str">
        <f aca="false">'Supplier Orders'!N25</f>
        <v>Confirm revised delivery date</v>
      </c>
    </row>
    <row r="35" customFormat="false" ht="15" hidden="false" customHeight="false" outlineLevel="0" collapsed="false">
      <c r="A35" s="22" t="str">
        <f aca="false">'Supplier Orders'!A26</f>
        <v>PO-4004</v>
      </c>
      <c r="B35" s="22" t="str">
        <f aca="false">'Supplier Orders'!B26</f>
        <v>Supplier Delta</v>
      </c>
      <c r="C35" s="22" t="str">
        <f aca="false">'Supplier Orders'!C26</f>
        <v>SKU-D</v>
      </c>
      <c r="D35" s="23" t="str">
        <f aca="false">'Supplier Orders'!D26</f>
        <v>Laptop Stand</v>
      </c>
      <c r="E35" s="24" t="n">
        <f aca="false">'Supplier Orders'!E26</f>
        <v>280</v>
      </c>
      <c r="F35" s="24" t="n">
        <f aca="false">'Supplier Orders'!F26</f>
        <v>280</v>
      </c>
      <c r="G35" s="25" t="n">
        <f aca="false">'Supplier Orders'!G26</f>
        <v>46321</v>
      </c>
      <c r="H35" s="25" t="n">
        <f aca="false">IF('Supplier Orders'!H26="","",'Supplier Orders'!H26)</f>
        <v>46321</v>
      </c>
      <c r="I35" s="26" t="n">
        <f aca="false">'Supplier Orders'!I26</f>
        <v>0</v>
      </c>
      <c r="J35" s="22" t="str">
        <f aca="false">'Supplier Orders'!J26</f>
        <v>On Time</v>
      </c>
      <c r="K35" s="24" t="n">
        <f aca="false">'Supplier Orders'!K26</f>
        <v>0</v>
      </c>
      <c r="L35" s="23" t="str">
        <f aca="false">'Supplier Orders'!L26</f>
        <v>No Exception</v>
      </c>
      <c r="M35" s="22" t="str">
        <f aca="false">'Supplier Orders'!M26</f>
        <v>Normal</v>
      </c>
      <c r="N35" s="23" t="str">
        <f aca="false">'Supplier Orders'!N26</f>
        <v>No action required</v>
      </c>
    </row>
    <row r="36" customFormat="false" ht="15" hidden="false" customHeight="false" outlineLevel="0" collapsed="false">
      <c r="A36" s="22" t="str">
        <f aca="false">'Supplier Orders'!A27</f>
        <v>PO-4005</v>
      </c>
      <c r="B36" s="22" t="str">
        <f aca="false">'Supplier Orders'!B27</f>
        <v>Supplier Delta</v>
      </c>
      <c r="C36" s="22" t="str">
        <f aca="false">'Supplier Orders'!C27</f>
        <v>SKU-D</v>
      </c>
      <c r="D36" s="23" t="str">
        <f aca="false">'Supplier Orders'!D27</f>
        <v>Laptop Stand</v>
      </c>
      <c r="E36" s="24" t="n">
        <f aca="false">'Supplier Orders'!E27</f>
        <v>300</v>
      </c>
      <c r="F36" s="24" t="n">
        <f aca="false">'Supplier Orders'!F27</f>
        <v>300</v>
      </c>
      <c r="G36" s="25" t="n">
        <f aca="false">'Supplier Orders'!G27</f>
        <v>46328</v>
      </c>
      <c r="H36" s="25" t="n">
        <f aca="false">IF('Supplier Orders'!H27="","",'Supplier Orders'!H27)</f>
        <v>46328</v>
      </c>
      <c r="I36" s="26" t="n">
        <f aca="false">'Supplier Orders'!I27</f>
        <v>0</v>
      </c>
      <c r="J36" s="22" t="str">
        <f aca="false">'Supplier Orders'!J27</f>
        <v>On Time</v>
      </c>
      <c r="K36" s="24" t="n">
        <f aca="false">'Supplier Orders'!K27</f>
        <v>0</v>
      </c>
      <c r="L36" s="23" t="str">
        <f aca="false">'Supplier Orders'!L27</f>
        <v>No Exception</v>
      </c>
      <c r="M36" s="22" t="str">
        <f aca="false">'Supplier Orders'!M27</f>
        <v>Normal</v>
      </c>
      <c r="N36" s="23" t="str">
        <f aca="false">'Supplier Orders'!N27</f>
        <v>No action required</v>
      </c>
    </row>
    <row r="37" customFormat="false" ht="15" hidden="false" customHeight="false" outlineLevel="0" collapsed="false">
      <c r="A37" s="22" t="str">
        <f aca="false">'Supplier Orders'!A28</f>
        <v>PO-4006</v>
      </c>
      <c r="B37" s="22" t="str">
        <f aca="false">'Supplier Orders'!B28</f>
        <v>Supplier Delta</v>
      </c>
      <c r="C37" s="22" t="str">
        <f aca="false">'Supplier Orders'!C28</f>
        <v>SKU-D</v>
      </c>
      <c r="D37" s="23" t="str">
        <f aca="false">'Supplier Orders'!D28</f>
        <v>Laptop Stand</v>
      </c>
      <c r="E37" s="24" t="n">
        <f aca="false">'Supplier Orders'!E28</f>
        <v>300</v>
      </c>
      <c r="F37" s="24" t="n">
        <f aca="false">'Supplier Orders'!F28</f>
        <v>300</v>
      </c>
      <c r="G37" s="25" t="n">
        <f aca="false">'Supplier Orders'!G28</f>
        <v>46335</v>
      </c>
      <c r="H37" s="25" t="str">
        <f aca="false">IF('Supplier Orders'!H28="","",'Supplier Orders'!H28)</f>
        <v/>
      </c>
      <c r="I37" s="26" t="str">
        <f aca="false">'Supplier Orders'!I28</f>
        <v/>
      </c>
      <c r="J37" s="22" t="str">
        <f aca="false">'Supplier Orders'!J28</f>
        <v>Pending</v>
      </c>
      <c r="K37" s="24" t="n">
        <f aca="false">'Supplier Orders'!K28</f>
        <v>0</v>
      </c>
      <c r="L37" s="23" t="str">
        <f aca="false">'Supplier Orders'!L28</f>
        <v>Pending Confirmation</v>
      </c>
      <c r="M37" s="22" t="str">
        <f aca="false">'Supplier Orders'!M28</f>
        <v>Medium</v>
      </c>
      <c r="N37" s="23" t="str">
        <f aca="false">'Supplier Orders'!N28</f>
        <v>Follow up for supplier confirmation</v>
      </c>
    </row>
    <row r="39" customFormat="false" ht="15" hidden="false" customHeight="false" outlineLevel="0" collapsed="false">
      <c r="A39" s="27" t="s">
        <v>52</v>
      </c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</row>
    <row r="40" customFormat="false" ht="15" hidden="false" customHeight="true" outlineLevel="0" collapsed="false">
      <c r="A40" s="28" t="s">
        <v>53</v>
      </c>
      <c r="B40" s="28"/>
      <c r="C40" s="28"/>
      <c r="D40" s="28" t="s">
        <v>54</v>
      </c>
      <c r="E40" s="28"/>
      <c r="F40" s="28"/>
      <c r="G40" s="28" t="s">
        <v>55</v>
      </c>
      <c r="H40" s="28"/>
      <c r="I40" s="28"/>
      <c r="J40" s="28" t="s">
        <v>56</v>
      </c>
      <c r="K40" s="28"/>
      <c r="L40" s="28"/>
      <c r="M40" s="28"/>
      <c r="N40" s="28"/>
    </row>
    <row r="41" customFormat="false" ht="15" hidden="false" customHeight="false" outlineLevel="0" collapsed="false">
      <c r="A41" s="28"/>
      <c r="B41" s="28"/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</row>
    <row r="43" customFormat="false" ht="15" hidden="false" customHeight="false" outlineLevel="0" collapsed="false">
      <c r="A43" s="27" t="s">
        <v>57</v>
      </c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</row>
    <row r="44" customFormat="false" ht="15" hidden="false" customHeight="false" outlineLevel="0" collapsed="false">
      <c r="A44" s="29" t="s">
        <v>58</v>
      </c>
      <c r="B44" s="30" t="str">
        <f aca="false">'What-If Scenario'!B4</f>
        <v>Supplier Beta</v>
      </c>
      <c r="D44" s="29" t="s">
        <v>59</v>
      </c>
      <c r="E44" s="30" t="n">
        <f aca="false">'What-If Scenario'!B5</f>
        <v>10</v>
      </c>
      <c r="G44" s="29" t="s">
        <v>60</v>
      </c>
      <c r="H44" s="30" t="n">
        <f aca="false">COUNTIF('What-If Scenario'!I8:I11,"AT RISK")</f>
        <v>1</v>
      </c>
      <c r="J44" s="29" t="s">
        <v>61</v>
      </c>
      <c r="K44" s="31" t="s">
        <v>62</v>
      </c>
    </row>
    <row r="46" customFormat="false" ht="15" hidden="false" customHeight="true" outlineLevel="0" collapsed="false">
      <c r="A46" s="32" t="s">
        <v>63</v>
      </c>
      <c r="B46" s="32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</row>
    <row r="47" customFormat="false" ht="15" hidden="false" customHeight="false" outlineLevel="0" collapsed="false">
      <c r="A47" s="32"/>
      <c r="B47" s="32"/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</row>
    <row r="49" customFormat="false" ht="15" hidden="false" customHeight="true" outlineLevel="0" collapsed="false">
      <c r="A49" s="33" t="s">
        <v>64</v>
      </c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</row>
    <row r="50" customFormat="false" ht="15" hidden="false" customHeight="false" outlineLevel="0" collapsed="false">
      <c r="A50" s="33"/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</row>
  </sheetData>
  <autoFilter ref="A13:N37"/>
  <mergeCells count="28">
    <mergeCell ref="A1:N1"/>
    <mergeCell ref="A2:N2"/>
    <mergeCell ref="A4:B4"/>
    <mergeCell ref="C4:D4"/>
    <mergeCell ref="E4:F4"/>
    <mergeCell ref="G4:H4"/>
    <mergeCell ref="I4:J4"/>
    <mergeCell ref="K4:N4"/>
    <mergeCell ref="A5:B6"/>
    <mergeCell ref="C5:D6"/>
    <mergeCell ref="E5:F6"/>
    <mergeCell ref="G5:H6"/>
    <mergeCell ref="I5:J6"/>
    <mergeCell ref="K5:N6"/>
    <mergeCell ref="A8:N8"/>
    <mergeCell ref="A9:C10"/>
    <mergeCell ref="D9:F10"/>
    <mergeCell ref="G9:I10"/>
    <mergeCell ref="J9:N10"/>
    <mergeCell ref="A12:N12"/>
    <mergeCell ref="A39:N39"/>
    <mergeCell ref="A40:C41"/>
    <mergeCell ref="D40:F41"/>
    <mergeCell ref="G40:I41"/>
    <mergeCell ref="J40:N41"/>
    <mergeCell ref="A43:N43"/>
    <mergeCell ref="A46:N47"/>
    <mergeCell ref="A49:N50"/>
  </mergeCells>
  <conditionalFormatting sqref="L14:L37">
    <cfRule type="expression" priority="2" aboveAverage="0" equalAverage="0" bottom="0" percent="0" rank="0" text="" dxfId="7">
      <formula>$L14="Late &amp; Short"</formula>
    </cfRule>
    <cfRule type="expression" priority="3" aboveAverage="0" equalAverage="0" bottom="0" percent="0" rank="0" text="" dxfId="8">
      <formula>$L14="Short Delivery"</formula>
    </cfRule>
    <cfRule type="expression" priority="4" aboveAverage="0" equalAverage="0" bottom="0" percent="0" rank="0" text="" dxfId="9">
      <formula>$L14="Late Delivery"</formula>
    </cfRule>
    <cfRule type="expression" priority="5" aboveAverage="0" equalAverage="0" bottom="0" percent="0" rank="0" text="" dxfId="9">
      <formula>$L14="Pending Confirmation"</formula>
    </cfRule>
  </conditionalFormatting>
  <conditionalFormatting sqref="M14:M37">
    <cfRule type="expression" priority="6" aboveAverage="0" equalAverage="0" bottom="0" percent="0" rank="0" text="" dxfId="7">
      <formula>$M14="High"</formula>
    </cfRule>
  </conditionalFormatting>
  <hyperlinks>
    <hyperlink ref="A40" r:id="rId1" location="'Supplier%20Orders'!A1" display="Supplier Orders&#10;Supplier order quantities, confirmations, dates and exception logic"/>
    <hyperlink ref="D40" r:id="rId2" location="'Stock%20Coverage%20Dashboard'!A1" display="Stock Coverage Dashboard&#10;Forecasted demand vs confirmed supply by SKU"/>
    <hyperlink ref="G40" r:id="rId3" location="'What-If%20Scenario'!A1" display="What-If Scenario&#10;Simulate supplier-delay impact on material coverage"/>
    <hyperlink ref="J40" r:id="rId4" location="'Demand%20Forecast'!A1" display="Demand Forecast&#10;Forecasted replenishment demand by SKU and week"/>
    <hyperlink ref="K44" r:id="rId5" location="'What-If%20Scenario'!A1" display="Go to What-If Scenario →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0"/>
    <col collapsed="false" customWidth="true" hidden="false" outlineLevel="0" max="3" min="3" style="1" width="8"/>
    <col collapsed="false" customWidth="true" hidden="false" outlineLevel="0" max="4" min="4" style="1" width="22"/>
  </cols>
  <sheetData>
    <row r="1" customFormat="false" ht="17.25" hidden="false" customHeight="true" outlineLevel="0" collapsed="false">
      <c r="A1" s="34" t="s">
        <v>65</v>
      </c>
    </row>
    <row r="2" customFormat="false" ht="15" hidden="false" customHeight="true" outlineLevel="0" collapsed="false">
      <c r="A2" s="3" t="s">
        <v>66</v>
      </c>
    </row>
    <row r="4" customFormat="false" ht="26.25" hidden="false" customHeight="true" outlineLevel="0" collapsed="false">
      <c r="A4" s="35" t="s">
        <v>40</v>
      </c>
      <c r="B4" s="35" t="s">
        <v>41</v>
      </c>
      <c r="C4" s="35" t="s">
        <v>67</v>
      </c>
      <c r="D4" s="35" t="s">
        <v>68</v>
      </c>
    </row>
    <row r="5" customFormat="false" ht="15" hidden="false" customHeight="true" outlineLevel="0" collapsed="false">
      <c r="A5" s="36" t="s">
        <v>69</v>
      </c>
      <c r="B5" s="36" t="s">
        <v>70</v>
      </c>
      <c r="C5" s="36" t="n">
        <v>1</v>
      </c>
      <c r="D5" s="36" t="n">
        <v>420</v>
      </c>
    </row>
    <row r="6" customFormat="false" ht="15" hidden="false" customHeight="true" outlineLevel="0" collapsed="false">
      <c r="A6" s="36" t="s">
        <v>69</v>
      </c>
      <c r="B6" s="36" t="s">
        <v>70</v>
      </c>
      <c r="C6" s="36" t="n">
        <v>2</v>
      </c>
      <c r="D6" s="36" t="n">
        <v>420</v>
      </c>
    </row>
    <row r="7" customFormat="false" ht="15" hidden="false" customHeight="true" outlineLevel="0" collapsed="false">
      <c r="A7" s="36" t="s">
        <v>69</v>
      </c>
      <c r="B7" s="36" t="s">
        <v>70</v>
      </c>
      <c r="C7" s="36" t="n">
        <v>3</v>
      </c>
      <c r="D7" s="36" t="n">
        <v>450</v>
      </c>
    </row>
    <row r="8" customFormat="false" ht="15" hidden="false" customHeight="true" outlineLevel="0" collapsed="false">
      <c r="A8" s="36" t="s">
        <v>69</v>
      </c>
      <c r="B8" s="36" t="s">
        <v>70</v>
      </c>
      <c r="C8" s="36" t="n">
        <v>4</v>
      </c>
      <c r="D8" s="36" t="n">
        <v>450</v>
      </c>
    </row>
    <row r="9" customFormat="false" ht="15" hidden="false" customHeight="true" outlineLevel="0" collapsed="false">
      <c r="A9" s="36" t="s">
        <v>69</v>
      </c>
      <c r="B9" s="36" t="s">
        <v>70</v>
      </c>
      <c r="C9" s="36" t="n">
        <v>5</v>
      </c>
      <c r="D9" s="36" t="n">
        <v>480</v>
      </c>
    </row>
    <row r="10" customFormat="false" ht="15" hidden="false" customHeight="true" outlineLevel="0" collapsed="false">
      <c r="A10" s="36" t="s">
        <v>69</v>
      </c>
      <c r="B10" s="36" t="s">
        <v>70</v>
      </c>
      <c r="C10" s="36" t="n">
        <v>6</v>
      </c>
      <c r="D10" s="36" t="n">
        <v>480</v>
      </c>
    </row>
    <row r="11" customFormat="false" ht="15" hidden="false" customHeight="true" outlineLevel="0" collapsed="false">
      <c r="A11" s="36" t="s">
        <v>71</v>
      </c>
      <c r="B11" s="36" t="s">
        <v>72</v>
      </c>
      <c r="C11" s="36" t="n">
        <v>1</v>
      </c>
      <c r="D11" s="36" t="n">
        <v>800</v>
      </c>
    </row>
    <row r="12" customFormat="false" ht="15" hidden="false" customHeight="true" outlineLevel="0" collapsed="false">
      <c r="A12" s="36" t="s">
        <v>71</v>
      </c>
      <c r="B12" s="36" t="s">
        <v>72</v>
      </c>
      <c r="C12" s="36" t="n">
        <v>2</v>
      </c>
      <c r="D12" s="36" t="n">
        <v>800</v>
      </c>
    </row>
    <row r="13" customFormat="false" ht="15" hidden="false" customHeight="true" outlineLevel="0" collapsed="false">
      <c r="A13" s="36" t="s">
        <v>71</v>
      </c>
      <c r="B13" s="36" t="s">
        <v>72</v>
      </c>
      <c r="C13" s="36" t="n">
        <v>3</v>
      </c>
      <c r="D13" s="36" t="n">
        <v>820</v>
      </c>
    </row>
    <row r="14" customFormat="false" ht="15" hidden="false" customHeight="true" outlineLevel="0" collapsed="false">
      <c r="A14" s="36" t="s">
        <v>71</v>
      </c>
      <c r="B14" s="36" t="s">
        <v>72</v>
      </c>
      <c r="C14" s="36" t="n">
        <v>4</v>
      </c>
      <c r="D14" s="36" t="n">
        <v>850</v>
      </c>
    </row>
    <row r="15" customFormat="false" ht="15" hidden="false" customHeight="true" outlineLevel="0" collapsed="false">
      <c r="A15" s="36" t="s">
        <v>71</v>
      </c>
      <c r="B15" s="36" t="s">
        <v>72</v>
      </c>
      <c r="C15" s="36" t="n">
        <v>5</v>
      </c>
      <c r="D15" s="36" t="n">
        <v>850</v>
      </c>
    </row>
    <row r="16" customFormat="false" ht="15" hidden="false" customHeight="true" outlineLevel="0" collapsed="false">
      <c r="A16" s="36" t="s">
        <v>71</v>
      </c>
      <c r="B16" s="36" t="s">
        <v>72</v>
      </c>
      <c r="C16" s="36" t="n">
        <v>6</v>
      </c>
      <c r="D16" s="36" t="n">
        <v>900</v>
      </c>
    </row>
    <row r="17" customFormat="false" ht="15" hidden="false" customHeight="true" outlineLevel="0" collapsed="false">
      <c r="A17" s="36" t="s">
        <v>73</v>
      </c>
      <c r="B17" s="36" t="s">
        <v>74</v>
      </c>
      <c r="C17" s="36" t="n">
        <v>1</v>
      </c>
      <c r="D17" s="36" t="n">
        <v>300</v>
      </c>
    </row>
    <row r="18" customFormat="false" ht="15" hidden="false" customHeight="true" outlineLevel="0" collapsed="false">
      <c r="A18" s="36" t="s">
        <v>73</v>
      </c>
      <c r="B18" s="36" t="s">
        <v>74</v>
      </c>
      <c r="C18" s="36" t="n">
        <v>2</v>
      </c>
      <c r="D18" s="36" t="n">
        <v>300</v>
      </c>
    </row>
    <row r="19" customFormat="false" ht="15" hidden="false" customHeight="true" outlineLevel="0" collapsed="false">
      <c r="A19" s="36" t="s">
        <v>73</v>
      </c>
      <c r="B19" s="36" t="s">
        <v>74</v>
      </c>
      <c r="C19" s="36" t="n">
        <v>3</v>
      </c>
      <c r="D19" s="36" t="n">
        <v>300</v>
      </c>
    </row>
    <row r="20" customFormat="false" ht="15" hidden="false" customHeight="true" outlineLevel="0" collapsed="false">
      <c r="A20" s="36" t="s">
        <v>73</v>
      </c>
      <c r="B20" s="36" t="s">
        <v>74</v>
      </c>
      <c r="C20" s="36" t="n">
        <v>4</v>
      </c>
      <c r="D20" s="36" t="n">
        <v>320</v>
      </c>
    </row>
    <row r="21" customFormat="false" ht="15" hidden="false" customHeight="true" outlineLevel="0" collapsed="false">
      <c r="A21" s="36" t="s">
        <v>73</v>
      </c>
      <c r="B21" s="36" t="s">
        <v>74</v>
      </c>
      <c r="C21" s="36" t="n">
        <v>5</v>
      </c>
      <c r="D21" s="36" t="n">
        <v>320</v>
      </c>
    </row>
    <row r="22" customFormat="false" ht="15" hidden="false" customHeight="true" outlineLevel="0" collapsed="false">
      <c r="A22" s="36" t="s">
        <v>73</v>
      </c>
      <c r="B22" s="36" t="s">
        <v>74</v>
      </c>
      <c r="C22" s="36" t="n">
        <v>6</v>
      </c>
      <c r="D22" s="36" t="n">
        <v>340</v>
      </c>
    </row>
    <row r="23" customFormat="false" ht="15" hidden="false" customHeight="true" outlineLevel="0" collapsed="false">
      <c r="A23" s="36" t="s">
        <v>75</v>
      </c>
      <c r="B23" s="36" t="s">
        <v>76</v>
      </c>
      <c r="C23" s="36" t="n">
        <v>1</v>
      </c>
      <c r="D23" s="36" t="n">
        <v>260</v>
      </c>
    </row>
    <row r="24" customFormat="false" ht="15" hidden="false" customHeight="true" outlineLevel="0" collapsed="false">
      <c r="A24" s="36" t="s">
        <v>75</v>
      </c>
      <c r="B24" s="36" t="s">
        <v>76</v>
      </c>
      <c r="C24" s="36" t="n">
        <v>2</v>
      </c>
      <c r="D24" s="36" t="n">
        <v>260</v>
      </c>
    </row>
    <row r="25" customFormat="false" ht="15" hidden="false" customHeight="true" outlineLevel="0" collapsed="false">
      <c r="A25" s="36" t="s">
        <v>75</v>
      </c>
      <c r="B25" s="36" t="s">
        <v>76</v>
      </c>
      <c r="C25" s="36" t="n">
        <v>3</v>
      </c>
      <c r="D25" s="36" t="n">
        <v>280</v>
      </c>
    </row>
    <row r="26" customFormat="false" ht="15" hidden="false" customHeight="true" outlineLevel="0" collapsed="false">
      <c r="A26" s="36" t="s">
        <v>75</v>
      </c>
      <c r="B26" s="36" t="s">
        <v>76</v>
      </c>
      <c r="C26" s="36" t="n">
        <v>4</v>
      </c>
      <c r="D26" s="36" t="n">
        <v>280</v>
      </c>
    </row>
    <row r="27" customFormat="false" ht="15" hidden="false" customHeight="true" outlineLevel="0" collapsed="false">
      <c r="A27" s="36" t="s">
        <v>75</v>
      </c>
      <c r="B27" s="36" t="s">
        <v>76</v>
      </c>
      <c r="C27" s="36" t="n">
        <v>5</v>
      </c>
      <c r="D27" s="36" t="n">
        <v>300</v>
      </c>
    </row>
    <row r="28" customFormat="false" ht="15" hidden="false" customHeight="true" outlineLevel="0" collapsed="false">
      <c r="A28" s="36" t="s">
        <v>75</v>
      </c>
      <c r="B28" s="36" t="s">
        <v>76</v>
      </c>
      <c r="C28" s="36" t="n">
        <v>6</v>
      </c>
      <c r="D28" s="36" t="n">
        <v>300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6"/>
    <col collapsed="false" customWidth="true" hidden="false" outlineLevel="0" max="3" min="3" style="1" width="9"/>
    <col collapsed="false" customWidth="true" hidden="false" outlineLevel="0" max="4" min="4" style="1" width="16"/>
    <col collapsed="false" customWidth="true" hidden="false" outlineLevel="0" max="5" min="5" style="1" width="11"/>
    <col collapsed="false" customWidth="true" hidden="false" outlineLevel="0" max="6" min="6" style="1" width="13"/>
    <col collapsed="false" customWidth="true" hidden="false" outlineLevel="0" max="7" min="7" style="1" width="12"/>
    <col collapsed="false" customWidth="true" hidden="false" outlineLevel="0" max="8" min="8" style="1" width="16"/>
    <col collapsed="false" customWidth="true" hidden="false" outlineLevel="0" max="9" min="9" style="1" width="12"/>
    <col collapsed="false" customWidth="true" hidden="false" outlineLevel="0" max="10" min="10" style="1" width="18"/>
    <col collapsed="false" customWidth="true" hidden="false" outlineLevel="0" max="11" min="11" style="1" width="11"/>
    <col collapsed="false" customWidth="true" hidden="false" outlineLevel="0" max="12" min="12" style="1" width="18"/>
    <col collapsed="false" customWidth="true" hidden="false" outlineLevel="0" max="13" min="13" style="1" width="12"/>
    <col collapsed="false" customWidth="true" hidden="false" outlineLevel="0" max="14" min="14" style="1" width="36"/>
  </cols>
  <sheetData>
    <row r="1" customFormat="false" ht="17.25" hidden="false" customHeight="true" outlineLevel="0" collapsed="false">
      <c r="A1" s="34" t="s">
        <v>77</v>
      </c>
    </row>
    <row r="2" customFormat="false" ht="15" hidden="false" customHeight="true" outlineLevel="0" collapsed="false">
      <c r="A2" s="3" t="s">
        <v>78</v>
      </c>
    </row>
    <row r="4" customFormat="false" ht="26.25" hidden="false" customHeight="true" outlineLevel="0" collapsed="false">
      <c r="A4" s="35" t="s">
        <v>38</v>
      </c>
      <c r="B4" s="35" t="s">
        <v>39</v>
      </c>
      <c r="C4" s="35" t="s">
        <v>40</v>
      </c>
      <c r="D4" s="35" t="s">
        <v>41</v>
      </c>
      <c r="E4" s="35" t="s">
        <v>42</v>
      </c>
      <c r="F4" s="35" t="s">
        <v>43</v>
      </c>
      <c r="G4" s="35" t="s">
        <v>44</v>
      </c>
      <c r="H4" s="35" t="s">
        <v>79</v>
      </c>
      <c r="I4" s="35" t="s">
        <v>46</v>
      </c>
      <c r="J4" s="35" t="s">
        <v>47</v>
      </c>
      <c r="K4" s="35" t="s">
        <v>48</v>
      </c>
      <c r="L4" s="35" t="s">
        <v>80</v>
      </c>
      <c r="M4" s="35" t="s">
        <v>50</v>
      </c>
      <c r="N4" s="35" t="s">
        <v>51</v>
      </c>
    </row>
    <row r="5" customFormat="false" ht="15" hidden="false" customHeight="true" outlineLevel="0" collapsed="false">
      <c r="A5" s="36" t="s">
        <v>81</v>
      </c>
      <c r="B5" s="37" t="s">
        <v>82</v>
      </c>
      <c r="C5" s="36" t="s">
        <v>69</v>
      </c>
      <c r="D5" s="37" t="s">
        <v>70</v>
      </c>
      <c r="E5" s="36" t="n">
        <v>420</v>
      </c>
      <c r="F5" s="38" t="n">
        <v>420</v>
      </c>
      <c r="G5" s="39" t="n">
        <v>46300</v>
      </c>
      <c r="H5" s="39" t="n">
        <v>46299</v>
      </c>
      <c r="I5" s="36" t="n">
        <f aca="false">IF(H5="","",H5-G5)</f>
        <v>-1</v>
      </c>
      <c r="J5" s="36" t="str">
        <f aca="false">IF(H5="","Pending",IF(AND(H5&gt;G5,F5&lt;E5),"Late &amp; Short",IF(H5&gt;G5,"Late",IF(F5&lt;E5,"On Time but Short","On Time"))))</f>
        <v>On Time</v>
      </c>
      <c r="K5" s="40" t="n">
        <f aca="false">MAX(E5-F5,0)</f>
        <v>0</v>
      </c>
      <c r="L5" s="41" t="str">
        <f aca="false">IF(J5="Pending","Pending Confirmation",IF(AND(I5&gt;0,K5&gt;0),"Late &amp; Short",IF(I5&gt;0,"Late Delivery",IF(K5&gt;0,"Short Delivery","No Exception"))))</f>
        <v>No Exception</v>
      </c>
      <c r="M5" s="41" t="str">
        <f aca="false">IF(L5="No Exception","Normal",IF(OR(L5="Late &amp; Short",L5="Short Delivery"),"High","Medium"))</f>
        <v>Normal</v>
      </c>
      <c r="N5" s="42" t="str">
        <f aca="false">IF(L5="No Exception","No action required",IF(L5="Pending Confirmation","Follow up for supplier confirmation",IF(L5="Late &amp; Short","Expedite and confirm recovery quantity",IF(L5="Late Delivery","Confirm revised delivery date","Request quantity recovery"))))</f>
        <v>No action required</v>
      </c>
    </row>
    <row r="6" customFormat="false" ht="15" hidden="false" customHeight="true" outlineLevel="0" collapsed="false">
      <c r="A6" s="36" t="s">
        <v>83</v>
      </c>
      <c r="B6" s="37" t="s">
        <v>82</v>
      </c>
      <c r="C6" s="36" t="s">
        <v>69</v>
      </c>
      <c r="D6" s="37" t="s">
        <v>70</v>
      </c>
      <c r="E6" s="36" t="n">
        <v>420</v>
      </c>
      <c r="F6" s="38" t="n">
        <v>420</v>
      </c>
      <c r="G6" s="39" t="n">
        <v>46307</v>
      </c>
      <c r="H6" s="39" t="n">
        <v>46307</v>
      </c>
      <c r="I6" s="36" t="n">
        <f aca="false">IF(H6="","",H6-G6)</f>
        <v>0</v>
      </c>
      <c r="J6" s="36" t="str">
        <f aca="false">IF(H6="","Pending",IF(AND(H6&gt;G6,F6&lt;E6),"Late &amp; Short",IF(H6&gt;G6,"Late",IF(F6&lt;E6,"On Time but Short","On Time"))))</f>
        <v>On Time</v>
      </c>
      <c r="K6" s="40" t="n">
        <f aca="false">MAX(E6-F6,0)</f>
        <v>0</v>
      </c>
      <c r="L6" s="41" t="str">
        <f aca="false">IF(J6="Pending","Pending Confirmation",IF(AND(I6&gt;0,K6&gt;0),"Late &amp; Short",IF(I6&gt;0,"Late Delivery",IF(K6&gt;0,"Short Delivery","No Exception"))))</f>
        <v>No Exception</v>
      </c>
      <c r="M6" s="41" t="str">
        <f aca="false">IF(L6="No Exception","Normal",IF(OR(L6="Late &amp; Short",L6="Short Delivery"),"High","Medium"))</f>
        <v>Normal</v>
      </c>
      <c r="N6" s="42" t="str">
        <f aca="false">IF(L6="No Exception","No action required",IF(L6="Pending Confirmation","Follow up for supplier confirmation",IF(L6="Late &amp; Short","Expedite and confirm recovery quantity",IF(L6="Late Delivery","Confirm revised delivery date","Request quantity recovery"))))</f>
        <v>No action required</v>
      </c>
    </row>
    <row r="7" customFormat="false" ht="15" hidden="false" customHeight="true" outlineLevel="0" collapsed="false">
      <c r="A7" s="36" t="s">
        <v>84</v>
      </c>
      <c r="B7" s="37" t="s">
        <v>82</v>
      </c>
      <c r="C7" s="36" t="s">
        <v>69</v>
      </c>
      <c r="D7" s="37" t="s">
        <v>70</v>
      </c>
      <c r="E7" s="36" t="n">
        <v>450</v>
      </c>
      <c r="F7" s="38" t="n">
        <v>400</v>
      </c>
      <c r="G7" s="39" t="n">
        <v>46314</v>
      </c>
      <c r="H7" s="39" t="n">
        <v>46314</v>
      </c>
      <c r="I7" s="36" t="n">
        <f aca="false">IF(H7="","",H7-G7)</f>
        <v>0</v>
      </c>
      <c r="J7" s="36" t="str">
        <f aca="false">IF(H7="","Pending",IF(AND(H7&gt;G7,F7&lt;E7),"Late &amp; Short",IF(H7&gt;G7,"Late",IF(F7&lt;E7,"On Time but Short","On Time"))))</f>
        <v>On Time but Short</v>
      </c>
      <c r="K7" s="40" t="n">
        <f aca="false">MAX(E7-F7,0)</f>
        <v>50</v>
      </c>
      <c r="L7" s="41" t="str">
        <f aca="false">IF(J7="Pending","Pending Confirmation",IF(AND(I7&gt;0,K7&gt;0),"Late &amp; Short",IF(I7&gt;0,"Late Delivery",IF(K7&gt;0,"Short Delivery","No Exception"))))</f>
        <v>Short Delivery</v>
      </c>
      <c r="M7" s="41" t="str">
        <f aca="false">IF(L7="No Exception","Normal",IF(OR(L7="Late &amp; Short",L7="Short Delivery"),"High","Medium"))</f>
        <v>High</v>
      </c>
      <c r="N7" s="42" t="str">
        <f aca="false">IF(L7="No Exception","No action required",IF(L7="Pending Confirmation","Follow up for supplier confirmation",IF(L7="Late &amp; Short","Expedite and confirm recovery quantity",IF(L7="Late Delivery","Confirm revised delivery date","Request quantity recovery"))))</f>
        <v>Request quantity recovery</v>
      </c>
    </row>
    <row r="8" customFormat="false" ht="15" hidden="false" customHeight="true" outlineLevel="0" collapsed="false">
      <c r="A8" s="36" t="s">
        <v>85</v>
      </c>
      <c r="B8" s="37" t="s">
        <v>82</v>
      </c>
      <c r="C8" s="36" t="s">
        <v>69</v>
      </c>
      <c r="D8" s="37" t="s">
        <v>70</v>
      </c>
      <c r="E8" s="36" t="n">
        <v>450</v>
      </c>
      <c r="F8" s="38" t="n">
        <v>450</v>
      </c>
      <c r="G8" s="39" t="n">
        <v>46321</v>
      </c>
      <c r="H8" s="39" t="n">
        <v>46322</v>
      </c>
      <c r="I8" s="36" t="n">
        <f aca="false">IF(H8="","",H8-G8)</f>
        <v>1</v>
      </c>
      <c r="J8" s="36" t="str">
        <f aca="false">IF(H8="","Pending",IF(AND(H8&gt;G8,F8&lt;E8),"Late &amp; Short",IF(H8&gt;G8,"Late",IF(F8&lt;E8,"On Time but Short","On Time"))))</f>
        <v>Late</v>
      </c>
      <c r="K8" s="40" t="n">
        <f aca="false">MAX(E8-F8,0)</f>
        <v>0</v>
      </c>
      <c r="L8" s="41" t="str">
        <f aca="false">IF(J8="Pending","Pending Confirmation",IF(AND(I8&gt;0,K8&gt;0),"Late &amp; Short",IF(I8&gt;0,"Late Delivery",IF(K8&gt;0,"Short Delivery","No Exception"))))</f>
        <v>Late Delivery</v>
      </c>
      <c r="M8" s="41" t="str">
        <f aca="false">IF(L8="No Exception","Normal",IF(OR(L8="Late &amp; Short",L8="Short Delivery"),"High","Medium"))</f>
        <v>Medium</v>
      </c>
      <c r="N8" s="42" t="str">
        <f aca="false">IF(L8="No Exception","No action required",IF(L8="Pending Confirmation","Follow up for supplier confirmation",IF(L8="Late &amp; Short","Expedite and confirm recovery quantity",IF(L8="Late Delivery","Confirm revised delivery date","Request quantity recovery"))))</f>
        <v>Confirm revised delivery date</v>
      </c>
    </row>
    <row r="9" customFormat="false" ht="15" hidden="false" customHeight="true" outlineLevel="0" collapsed="false">
      <c r="A9" s="36" t="s">
        <v>86</v>
      </c>
      <c r="B9" s="37" t="s">
        <v>82</v>
      </c>
      <c r="C9" s="36" t="s">
        <v>69</v>
      </c>
      <c r="D9" s="37" t="s">
        <v>70</v>
      </c>
      <c r="E9" s="36" t="n">
        <v>480</v>
      </c>
      <c r="F9" s="38" t="n">
        <v>480</v>
      </c>
      <c r="G9" s="39" t="n">
        <v>46328</v>
      </c>
      <c r="H9" s="39" t="n">
        <v>46327</v>
      </c>
      <c r="I9" s="36" t="n">
        <f aca="false">IF(H9="","",H9-G9)</f>
        <v>-1</v>
      </c>
      <c r="J9" s="36" t="str">
        <f aca="false">IF(H9="","Pending",IF(AND(H9&gt;G9,F9&lt;E9),"Late &amp; Short",IF(H9&gt;G9,"Late",IF(F9&lt;E9,"On Time but Short","On Time"))))</f>
        <v>On Time</v>
      </c>
      <c r="K9" s="40" t="n">
        <f aca="false">MAX(E9-F9,0)</f>
        <v>0</v>
      </c>
      <c r="L9" s="41" t="str">
        <f aca="false">IF(J9="Pending","Pending Confirmation",IF(AND(I9&gt;0,K9&gt;0),"Late &amp; Short",IF(I9&gt;0,"Late Delivery",IF(K9&gt;0,"Short Delivery","No Exception"))))</f>
        <v>No Exception</v>
      </c>
      <c r="M9" s="41" t="str">
        <f aca="false">IF(L9="No Exception","Normal",IF(OR(L9="Late &amp; Short",L9="Short Delivery"),"High","Medium"))</f>
        <v>Normal</v>
      </c>
      <c r="N9" s="42" t="str">
        <f aca="false">IF(L9="No Exception","No action required",IF(L9="Pending Confirmation","Follow up for supplier confirmation",IF(L9="Late &amp; Short","Expedite and confirm recovery quantity",IF(L9="Late Delivery","Confirm revised delivery date","Request quantity recovery"))))</f>
        <v>No action required</v>
      </c>
    </row>
    <row r="10" customFormat="false" ht="15" hidden="false" customHeight="true" outlineLevel="0" collapsed="false">
      <c r="A10" s="36" t="s">
        <v>87</v>
      </c>
      <c r="B10" s="37" t="s">
        <v>82</v>
      </c>
      <c r="C10" s="36" t="s">
        <v>69</v>
      </c>
      <c r="D10" s="37" t="s">
        <v>70</v>
      </c>
      <c r="E10" s="36" t="n">
        <v>480</v>
      </c>
      <c r="F10" s="38" t="n">
        <v>480</v>
      </c>
      <c r="G10" s="39" t="n">
        <v>46335</v>
      </c>
      <c r="H10" s="39"/>
      <c r="I10" s="36" t="str">
        <f aca="false">IF(H10="","",H10-G10)</f>
        <v/>
      </c>
      <c r="J10" s="36" t="str">
        <f aca="false">IF(H10="","Pending",IF(AND(H10&gt;G10,F10&lt;E10),"Late &amp; Short",IF(H10&gt;G10,"Late",IF(F10&lt;E10,"On Time but Short","On Time"))))</f>
        <v>Pending</v>
      </c>
      <c r="K10" s="40" t="n">
        <f aca="false">MAX(E10-F10,0)</f>
        <v>0</v>
      </c>
      <c r="L10" s="41" t="str">
        <f aca="false">IF(J10="Pending","Pending Confirmation",IF(AND(I10&gt;0,K10&gt;0),"Late &amp; Short",IF(I10&gt;0,"Late Delivery",IF(K10&gt;0,"Short Delivery","No Exception"))))</f>
        <v>Pending Confirmation</v>
      </c>
      <c r="M10" s="41" t="str">
        <f aca="false">IF(L10="No Exception","Normal",IF(OR(L10="Late &amp; Short",L10="Short Delivery"),"High","Medium"))</f>
        <v>Medium</v>
      </c>
      <c r="N10" s="42" t="str">
        <f aca="false">IF(L10="No Exception","No action required",IF(L10="Pending Confirmation","Follow up for supplier confirmation",IF(L10="Late &amp; Short","Expedite and confirm recovery quantity",IF(L10="Late Delivery","Confirm revised delivery date","Request quantity recovery"))))</f>
        <v>Follow up for supplier confirmation</v>
      </c>
    </row>
    <row r="11" customFormat="false" ht="15" hidden="false" customHeight="true" outlineLevel="0" collapsed="false">
      <c r="A11" s="36" t="s">
        <v>88</v>
      </c>
      <c r="B11" s="37" t="s">
        <v>89</v>
      </c>
      <c r="C11" s="36" t="s">
        <v>71</v>
      </c>
      <c r="D11" s="37" t="s">
        <v>72</v>
      </c>
      <c r="E11" s="36" t="n">
        <v>800</v>
      </c>
      <c r="F11" s="38" t="n">
        <v>800</v>
      </c>
      <c r="G11" s="39" t="n">
        <v>46300</v>
      </c>
      <c r="H11" s="39" t="n">
        <v>46300</v>
      </c>
      <c r="I11" s="36" t="n">
        <f aca="false">IF(H11="","",H11-G11)</f>
        <v>0</v>
      </c>
      <c r="J11" s="36" t="str">
        <f aca="false">IF(H11="","Pending",IF(AND(H11&gt;G11,F11&lt;E11),"Late &amp; Short",IF(H11&gt;G11,"Late",IF(F11&lt;E11,"On Time but Short","On Time"))))</f>
        <v>On Time</v>
      </c>
      <c r="K11" s="40" t="n">
        <f aca="false">MAX(E11-F11,0)</f>
        <v>0</v>
      </c>
      <c r="L11" s="41" t="str">
        <f aca="false">IF(J11="Pending","Pending Confirmation",IF(AND(I11&gt;0,K11&gt;0),"Late &amp; Short",IF(I11&gt;0,"Late Delivery",IF(K11&gt;0,"Short Delivery","No Exception"))))</f>
        <v>No Exception</v>
      </c>
      <c r="M11" s="41" t="str">
        <f aca="false">IF(L11="No Exception","Normal",IF(OR(L11="Late &amp; Short",L11="Short Delivery"),"High","Medium"))</f>
        <v>Normal</v>
      </c>
      <c r="N11" s="42" t="str">
        <f aca="false">IF(L11="No Exception","No action required",IF(L11="Pending Confirmation","Follow up for supplier confirmation",IF(L11="Late &amp; Short","Expedite and confirm recovery quantity",IF(L11="Late Delivery","Confirm revised delivery date","Request quantity recovery"))))</f>
        <v>No action required</v>
      </c>
    </row>
    <row r="12" customFormat="false" ht="15" hidden="false" customHeight="true" outlineLevel="0" collapsed="false">
      <c r="A12" s="36" t="s">
        <v>90</v>
      </c>
      <c r="B12" s="37" t="s">
        <v>89</v>
      </c>
      <c r="C12" s="36" t="s">
        <v>71</v>
      </c>
      <c r="D12" s="37" t="s">
        <v>72</v>
      </c>
      <c r="E12" s="36" t="n">
        <v>800</v>
      </c>
      <c r="F12" s="38" t="n">
        <v>800</v>
      </c>
      <c r="G12" s="39" t="n">
        <v>46307</v>
      </c>
      <c r="H12" s="39" t="n">
        <v>46307</v>
      </c>
      <c r="I12" s="36" t="n">
        <f aca="false">IF(H12="","",H12-G12)</f>
        <v>0</v>
      </c>
      <c r="J12" s="36" t="str">
        <f aca="false">IF(H12="","Pending",IF(AND(H12&gt;G12,F12&lt;E12),"Late &amp; Short",IF(H12&gt;G12,"Late",IF(F12&lt;E12,"On Time but Short","On Time"))))</f>
        <v>On Time</v>
      </c>
      <c r="K12" s="40" t="n">
        <f aca="false">MAX(E12-F12,0)</f>
        <v>0</v>
      </c>
      <c r="L12" s="41" t="str">
        <f aca="false">IF(J12="Pending","Pending Confirmation",IF(AND(I12&gt;0,K12&gt;0),"Late &amp; Short",IF(I12&gt;0,"Late Delivery",IF(K12&gt;0,"Short Delivery","No Exception"))))</f>
        <v>No Exception</v>
      </c>
      <c r="M12" s="41" t="str">
        <f aca="false">IF(L12="No Exception","Normal",IF(OR(L12="Late &amp; Short",L12="Short Delivery"),"High","Medium"))</f>
        <v>Normal</v>
      </c>
      <c r="N12" s="42" t="str">
        <f aca="false">IF(L12="No Exception","No action required",IF(L12="Pending Confirmation","Follow up for supplier confirmation",IF(L12="Late &amp; Short","Expedite and confirm recovery quantity",IF(L12="Late Delivery","Confirm revised delivery date","Request quantity recovery"))))</f>
        <v>No action required</v>
      </c>
    </row>
    <row r="13" customFormat="false" ht="15" hidden="false" customHeight="true" outlineLevel="0" collapsed="false">
      <c r="A13" s="36" t="s">
        <v>91</v>
      </c>
      <c r="B13" s="37" t="s">
        <v>89</v>
      </c>
      <c r="C13" s="36" t="s">
        <v>71</v>
      </c>
      <c r="D13" s="37" t="s">
        <v>72</v>
      </c>
      <c r="E13" s="36" t="n">
        <v>820</v>
      </c>
      <c r="F13" s="38" t="n">
        <v>820</v>
      </c>
      <c r="G13" s="39" t="n">
        <v>46314</v>
      </c>
      <c r="H13" s="39" t="n">
        <v>46314</v>
      </c>
      <c r="I13" s="36" t="n">
        <f aca="false">IF(H13="","",H13-G13)</f>
        <v>0</v>
      </c>
      <c r="J13" s="36" t="str">
        <f aca="false">IF(H13="","Pending",IF(AND(H13&gt;G13,F13&lt;E13),"Late &amp; Short",IF(H13&gt;G13,"Late",IF(F13&lt;E13,"On Time but Short","On Time"))))</f>
        <v>On Time</v>
      </c>
      <c r="K13" s="40" t="n">
        <f aca="false">MAX(E13-F13,0)</f>
        <v>0</v>
      </c>
      <c r="L13" s="41" t="str">
        <f aca="false">IF(J13="Pending","Pending Confirmation",IF(AND(I13&gt;0,K13&gt;0),"Late &amp; Short",IF(I13&gt;0,"Late Delivery",IF(K13&gt;0,"Short Delivery","No Exception"))))</f>
        <v>No Exception</v>
      </c>
      <c r="M13" s="41" t="str">
        <f aca="false">IF(L13="No Exception","Normal",IF(OR(L13="Late &amp; Short",L13="Short Delivery"),"High","Medium"))</f>
        <v>Normal</v>
      </c>
      <c r="N13" s="42" t="str">
        <f aca="false">IF(L13="No Exception","No action required",IF(L13="Pending Confirmation","Follow up for supplier confirmation",IF(L13="Late &amp; Short","Expedite and confirm recovery quantity",IF(L13="Late Delivery","Confirm revised delivery date","Request quantity recovery"))))</f>
        <v>No action required</v>
      </c>
    </row>
    <row r="14" customFormat="false" ht="15" hidden="false" customHeight="true" outlineLevel="0" collapsed="false">
      <c r="A14" s="36" t="s">
        <v>92</v>
      </c>
      <c r="B14" s="37" t="s">
        <v>89</v>
      </c>
      <c r="C14" s="36" t="s">
        <v>71</v>
      </c>
      <c r="D14" s="37" t="s">
        <v>72</v>
      </c>
      <c r="E14" s="36" t="n">
        <v>850</v>
      </c>
      <c r="F14" s="38" t="n">
        <v>850</v>
      </c>
      <c r="G14" s="39" t="n">
        <v>46321</v>
      </c>
      <c r="H14" s="39" t="n">
        <v>46324</v>
      </c>
      <c r="I14" s="36" t="n">
        <f aca="false">IF(H14="","",H14-G14)</f>
        <v>3</v>
      </c>
      <c r="J14" s="36" t="str">
        <f aca="false">IF(H14="","Pending",IF(AND(H14&gt;G14,F14&lt;E14),"Late &amp; Short",IF(H14&gt;G14,"Late",IF(F14&lt;E14,"On Time but Short","On Time"))))</f>
        <v>Late</v>
      </c>
      <c r="K14" s="40" t="n">
        <f aca="false">MAX(E14-F14,0)</f>
        <v>0</v>
      </c>
      <c r="L14" s="41" t="str">
        <f aca="false">IF(J14="Pending","Pending Confirmation",IF(AND(I14&gt;0,K14&gt;0),"Late &amp; Short",IF(I14&gt;0,"Late Delivery",IF(K14&gt;0,"Short Delivery","No Exception"))))</f>
        <v>Late Delivery</v>
      </c>
      <c r="M14" s="41" t="str">
        <f aca="false">IF(L14="No Exception","Normal",IF(OR(L14="Late &amp; Short",L14="Short Delivery"),"High","Medium"))</f>
        <v>Medium</v>
      </c>
      <c r="N14" s="42" t="str">
        <f aca="false">IF(L14="No Exception","No action required",IF(L14="Pending Confirmation","Follow up for supplier confirmation",IF(L14="Late &amp; Short","Expedite and confirm recovery quantity",IF(L14="Late Delivery","Confirm revised delivery date","Request quantity recovery"))))</f>
        <v>Confirm revised delivery date</v>
      </c>
    </row>
    <row r="15" customFormat="false" ht="15" hidden="false" customHeight="true" outlineLevel="0" collapsed="false">
      <c r="A15" s="36" t="s">
        <v>93</v>
      </c>
      <c r="B15" s="37" t="s">
        <v>89</v>
      </c>
      <c r="C15" s="36" t="s">
        <v>71</v>
      </c>
      <c r="D15" s="37" t="s">
        <v>72</v>
      </c>
      <c r="E15" s="36" t="n">
        <v>850</v>
      </c>
      <c r="F15" s="38" t="n">
        <v>850</v>
      </c>
      <c r="G15" s="39" t="n">
        <v>46328</v>
      </c>
      <c r="H15" s="39" t="n">
        <v>46328</v>
      </c>
      <c r="I15" s="36" t="n">
        <f aca="false">IF(H15="","",H15-G15)</f>
        <v>0</v>
      </c>
      <c r="J15" s="36" t="str">
        <f aca="false">IF(H15="","Pending",IF(AND(H15&gt;G15,F15&lt;E15),"Late &amp; Short",IF(H15&gt;G15,"Late",IF(F15&lt;E15,"On Time but Short","On Time"))))</f>
        <v>On Time</v>
      </c>
      <c r="K15" s="40" t="n">
        <f aca="false">MAX(E15-F15,0)</f>
        <v>0</v>
      </c>
      <c r="L15" s="41" t="str">
        <f aca="false">IF(J15="Pending","Pending Confirmation",IF(AND(I15&gt;0,K15&gt;0),"Late &amp; Short",IF(I15&gt;0,"Late Delivery",IF(K15&gt;0,"Short Delivery","No Exception"))))</f>
        <v>No Exception</v>
      </c>
      <c r="M15" s="41" t="str">
        <f aca="false">IF(L15="No Exception","Normal",IF(OR(L15="Late &amp; Short",L15="Short Delivery"),"High","Medium"))</f>
        <v>Normal</v>
      </c>
      <c r="N15" s="42" t="str">
        <f aca="false">IF(L15="No Exception","No action required",IF(L15="Pending Confirmation","Follow up for supplier confirmation",IF(L15="Late &amp; Short","Expedite and confirm recovery quantity",IF(L15="Late Delivery","Confirm revised delivery date","Request quantity recovery"))))</f>
        <v>No action required</v>
      </c>
    </row>
    <row r="16" customFormat="false" ht="15" hidden="false" customHeight="true" outlineLevel="0" collapsed="false">
      <c r="A16" s="36" t="s">
        <v>94</v>
      </c>
      <c r="B16" s="37" t="s">
        <v>89</v>
      </c>
      <c r="C16" s="36" t="s">
        <v>71</v>
      </c>
      <c r="D16" s="37" t="s">
        <v>72</v>
      </c>
      <c r="E16" s="36" t="n">
        <v>900</v>
      </c>
      <c r="F16" s="38" t="n">
        <v>900</v>
      </c>
      <c r="G16" s="39" t="n">
        <v>46335</v>
      </c>
      <c r="H16" s="39"/>
      <c r="I16" s="36" t="str">
        <f aca="false">IF(H16="","",H16-G16)</f>
        <v/>
      </c>
      <c r="J16" s="36" t="str">
        <f aca="false">IF(H16="","Pending",IF(AND(H16&gt;G16,F16&lt;E16),"Late &amp; Short",IF(H16&gt;G16,"Late",IF(F16&lt;E16,"On Time but Short","On Time"))))</f>
        <v>Pending</v>
      </c>
      <c r="K16" s="40" t="n">
        <f aca="false">MAX(E16-F16,0)</f>
        <v>0</v>
      </c>
      <c r="L16" s="41" t="str">
        <f aca="false">IF(J16="Pending","Pending Confirmation",IF(AND(I16&gt;0,K16&gt;0),"Late &amp; Short",IF(I16&gt;0,"Late Delivery",IF(K16&gt;0,"Short Delivery","No Exception"))))</f>
        <v>Pending Confirmation</v>
      </c>
      <c r="M16" s="41" t="str">
        <f aca="false">IF(L16="No Exception","Normal",IF(OR(L16="Late &amp; Short",L16="Short Delivery"),"High","Medium"))</f>
        <v>Medium</v>
      </c>
      <c r="N16" s="42" t="str">
        <f aca="false">IF(L16="No Exception","No action required",IF(L16="Pending Confirmation","Follow up for supplier confirmation",IF(L16="Late &amp; Short","Expedite and confirm recovery quantity",IF(L16="Late Delivery","Confirm revised delivery date","Request quantity recovery"))))</f>
        <v>Follow up for supplier confirmation</v>
      </c>
    </row>
    <row r="17" customFormat="false" ht="15" hidden="false" customHeight="true" outlineLevel="0" collapsed="false">
      <c r="A17" s="36" t="s">
        <v>95</v>
      </c>
      <c r="B17" s="37" t="s">
        <v>96</v>
      </c>
      <c r="C17" s="36" t="s">
        <v>73</v>
      </c>
      <c r="D17" s="37" t="s">
        <v>74</v>
      </c>
      <c r="E17" s="36" t="n">
        <v>300</v>
      </c>
      <c r="F17" s="38" t="n">
        <v>300</v>
      </c>
      <c r="G17" s="39" t="n">
        <v>46300</v>
      </c>
      <c r="H17" s="39" t="n">
        <v>46300</v>
      </c>
      <c r="I17" s="36" t="n">
        <f aca="false">IF(H17="","",H17-G17)</f>
        <v>0</v>
      </c>
      <c r="J17" s="36" t="str">
        <f aca="false">IF(H17="","Pending",IF(AND(H17&gt;G17,F17&lt;E17),"Late &amp; Short",IF(H17&gt;G17,"Late",IF(F17&lt;E17,"On Time but Short","On Time"))))</f>
        <v>On Time</v>
      </c>
      <c r="K17" s="40" t="n">
        <f aca="false">MAX(E17-F17,0)</f>
        <v>0</v>
      </c>
      <c r="L17" s="41" t="str">
        <f aca="false">IF(J17="Pending","Pending Confirmation",IF(AND(I17&gt;0,K17&gt;0),"Late &amp; Short",IF(I17&gt;0,"Late Delivery",IF(K17&gt;0,"Short Delivery","No Exception"))))</f>
        <v>No Exception</v>
      </c>
      <c r="M17" s="41" t="str">
        <f aca="false">IF(L17="No Exception","Normal",IF(OR(L17="Late &amp; Short",L17="Short Delivery"),"High","Medium"))</f>
        <v>Normal</v>
      </c>
      <c r="N17" s="42" t="str">
        <f aca="false">IF(L17="No Exception","No action required",IF(L17="Pending Confirmation","Follow up for supplier confirmation",IF(L17="Late &amp; Short","Expedite and confirm recovery quantity",IF(L17="Late Delivery","Confirm revised delivery date","Request quantity recovery"))))</f>
        <v>No action required</v>
      </c>
    </row>
    <row r="18" customFormat="false" ht="15" hidden="false" customHeight="true" outlineLevel="0" collapsed="false">
      <c r="A18" s="36" t="s">
        <v>97</v>
      </c>
      <c r="B18" s="37" t="s">
        <v>96</v>
      </c>
      <c r="C18" s="36" t="s">
        <v>73</v>
      </c>
      <c r="D18" s="37" t="s">
        <v>74</v>
      </c>
      <c r="E18" s="36" t="n">
        <v>300</v>
      </c>
      <c r="F18" s="38" t="n">
        <v>280</v>
      </c>
      <c r="G18" s="39" t="n">
        <v>46307</v>
      </c>
      <c r="H18" s="39" t="n">
        <v>46309</v>
      </c>
      <c r="I18" s="36" t="n">
        <f aca="false">IF(H18="","",H18-G18)</f>
        <v>2</v>
      </c>
      <c r="J18" s="36" t="str">
        <f aca="false">IF(H18="","Pending",IF(AND(H18&gt;G18,F18&lt;E18),"Late &amp; Short",IF(H18&gt;G18,"Late",IF(F18&lt;E18,"On Time but Short","On Time"))))</f>
        <v>Late &amp; Short</v>
      </c>
      <c r="K18" s="40" t="n">
        <f aca="false">MAX(E18-F18,0)</f>
        <v>20</v>
      </c>
      <c r="L18" s="41" t="str">
        <f aca="false">IF(J18="Pending","Pending Confirmation",IF(AND(I18&gt;0,K18&gt;0),"Late &amp; Short",IF(I18&gt;0,"Late Delivery",IF(K18&gt;0,"Short Delivery","No Exception"))))</f>
        <v>Late &amp; Short</v>
      </c>
      <c r="M18" s="41" t="str">
        <f aca="false">IF(L18="No Exception","Normal",IF(OR(L18="Late &amp; Short",L18="Short Delivery"),"High","Medium"))</f>
        <v>High</v>
      </c>
      <c r="N18" s="42" t="str">
        <f aca="false">IF(L18="No Exception","No action required",IF(L18="Pending Confirmation","Follow up for supplier confirmation",IF(L18="Late &amp; Short","Expedite and confirm recovery quantity",IF(L18="Late Delivery","Confirm revised delivery date","Request quantity recovery"))))</f>
        <v>Expedite and confirm recovery quantity</v>
      </c>
    </row>
    <row r="19" customFormat="false" ht="15" hidden="false" customHeight="true" outlineLevel="0" collapsed="false">
      <c r="A19" s="36" t="s">
        <v>98</v>
      </c>
      <c r="B19" s="37" t="s">
        <v>96</v>
      </c>
      <c r="C19" s="36" t="s">
        <v>73</v>
      </c>
      <c r="D19" s="37" t="s">
        <v>74</v>
      </c>
      <c r="E19" s="36" t="n">
        <v>300</v>
      </c>
      <c r="F19" s="38" t="n">
        <v>300</v>
      </c>
      <c r="G19" s="39" t="n">
        <v>46314</v>
      </c>
      <c r="H19" s="39" t="n">
        <v>46314</v>
      </c>
      <c r="I19" s="36" t="n">
        <f aca="false">IF(H19="","",H19-G19)</f>
        <v>0</v>
      </c>
      <c r="J19" s="36" t="str">
        <f aca="false">IF(H19="","Pending",IF(AND(H19&gt;G19,F19&lt;E19),"Late &amp; Short",IF(H19&gt;G19,"Late",IF(F19&lt;E19,"On Time but Short","On Time"))))</f>
        <v>On Time</v>
      </c>
      <c r="K19" s="40" t="n">
        <f aca="false">MAX(E19-F19,0)</f>
        <v>0</v>
      </c>
      <c r="L19" s="41" t="str">
        <f aca="false">IF(J19="Pending","Pending Confirmation",IF(AND(I19&gt;0,K19&gt;0),"Late &amp; Short",IF(I19&gt;0,"Late Delivery",IF(K19&gt;0,"Short Delivery","No Exception"))))</f>
        <v>No Exception</v>
      </c>
      <c r="M19" s="41" t="str">
        <f aca="false">IF(L19="No Exception","Normal",IF(OR(L19="Late &amp; Short",L19="Short Delivery"),"High","Medium"))</f>
        <v>Normal</v>
      </c>
      <c r="N19" s="42" t="str">
        <f aca="false">IF(L19="No Exception","No action required",IF(L19="Pending Confirmation","Follow up for supplier confirmation",IF(L19="Late &amp; Short","Expedite and confirm recovery quantity",IF(L19="Late Delivery","Confirm revised delivery date","Request quantity recovery"))))</f>
        <v>No action required</v>
      </c>
    </row>
    <row r="20" customFormat="false" ht="15" hidden="false" customHeight="true" outlineLevel="0" collapsed="false">
      <c r="A20" s="36" t="s">
        <v>99</v>
      </c>
      <c r="B20" s="37" t="s">
        <v>96</v>
      </c>
      <c r="C20" s="36" t="s">
        <v>73</v>
      </c>
      <c r="D20" s="37" t="s">
        <v>74</v>
      </c>
      <c r="E20" s="36" t="n">
        <v>320</v>
      </c>
      <c r="F20" s="38" t="n">
        <v>320</v>
      </c>
      <c r="G20" s="39" t="n">
        <v>46321</v>
      </c>
      <c r="H20" s="39" t="n">
        <v>46323</v>
      </c>
      <c r="I20" s="36" t="n">
        <f aca="false">IF(H20="","",H20-G20)</f>
        <v>2</v>
      </c>
      <c r="J20" s="36" t="str">
        <f aca="false">IF(H20="","Pending",IF(AND(H20&gt;G20,F20&lt;E20),"Late &amp; Short",IF(H20&gt;G20,"Late",IF(F20&lt;E20,"On Time but Short","On Time"))))</f>
        <v>Late</v>
      </c>
      <c r="K20" s="40" t="n">
        <f aca="false">MAX(E20-F20,0)</f>
        <v>0</v>
      </c>
      <c r="L20" s="41" t="str">
        <f aca="false">IF(J20="Pending","Pending Confirmation",IF(AND(I20&gt;0,K20&gt;0),"Late &amp; Short",IF(I20&gt;0,"Late Delivery",IF(K20&gt;0,"Short Delivery","No Exception"))))</f>
        <v>Late Delivery</v>
      </c>
      <c r="M20" s="41" t="str">
        <f aca="false">IF(L20="No Exception","Normal",IF(OR(L20="Late &amp; Short",L20="Short Delivery"),"High","Medium"))</f>
        <v>Medium</v>
      </c>
      <c r="N20" s="42" t="str">
        <f aca="false">IF(L20="No Exception","No action required",IF(L20="Pending Confirmation","Follow up for supplier confirmation",IF(L20="Late &amp; Short","Expedite and confirm recovery quantity",IF(L20="Late Delivery","Confirm revised delivery date","Request quantity recovery"))))</f>
        <v>Confirm revised delivery date</v>
      </c>
    </row>
    <row r="21" customFormat="false" ht="15" hidden="false" customHeight="true" outlineLevel="0" collapsed="false">
      <c r="A21" s="36" t="s">
        <v>100</v>
      </c>
      <c r="B21" s="37" t="s">
        <v>96</v>
      </c>
      <c r="C21" s="36" t="s">
        <v>73</v>
      </c>
      <c r="D21" s="37" t="s">
        <v>74</v>
      </c>
      <c r="E21" s="36" t="n">
        <v>320</v>
      </c>
      <c r="F21" s="38" t="n">
        <v>320</v>
      </c>
      <c r="G21" s="39" t="n">
        <v>46328</v>
      </c>
      <c r="H21" s="39" t="n">
        <v>46327</v>
      </c>
      <c r="I21" s="36" t="n">
        <f aca="false">IF(H21="","",H21-G21)</f>
        <v>-1</v>
      </c>
      <c r="J21" s="36" t="str">
        <f aca="false">IF(H21="","Pending",IF(AND(H21&gt;G21,F21&lt;E21),"Late &amp; Short",IF(H21&gt;G21,"Late",IF(F21&lt;E21,"On Time but Short","On Time"))))</f>
        <v>On Time</v>
      </c>
      <c r="K21" s="40" t="n">
        <f aca="false">MAX(E21-F21,0)</f>
        <v>0</v>
      </c>
      <c r="L21" s="41" t="str">
        <f aca="false">IF(J21="Pending","Pending Confirmation",IF(AND(I21&gt;0,K21&gt;0),"Late &amp; Short",IF(I21&gt;0,"Late Delivery",IF(K21&gt;0,"Short Delivery","No Exception"))))</f>
        <v>No Exception</v>
      </c>
      <c r="M21" s="41" t="str">
        <f aca="false">IF(L21="No Exception","Normal",IF(OR(L21="Late &amp; Short",L21="Short Delivery"),"High","Medium"))</f>
        <v>Normal</v>
      </c>
      <c r="N21" s="42" t="str">
        <f aca="false">IF(L21="No Exception","No action required",IF(L21="Pending Confirmation","Follow up for supplier confirmation",IF(L21="Late &amp; Short","Expedite and confirm recovery quantity",IF(L21="Late Delivery","Confirm revised delivery date","Request quantity recovery"))))</f>
        <v>No action required</v>
      </c>
    </row>
    <row r="22" customFormat="false" ht="15" hidden="false" customHeight="true" outlineLevel="0" collapsed="false">
      <c r="A22" s="36" t="s">
        <v>101</v>
      </c>
      <c r="B22" s="37" t="s">
        <v>96</v>
      </c>
      <c r="C22" s="36" t="s">
        <v>73</v>
      </c>
      <c r="D22" s="37" t="s">
        <v>74</v>
      </c>
      <c r="E22" s="36" t="n">
        <v>340</v>
      </c>
      <c r="F22" s="38" t="n">
        <v>340</v>
      </c>
      <c r="G22" s="39" t="n">
        <v>46335</v>
      </c>
      <c r="H22" s="39"/>
      <c r="I22" s="36" t="str">
        <f aca="false">IF(H22="","",H22-G22)</f>
        <v/>
      </c>
      <c r="J22" s="36" t="str">
        <f aca="false">IF(H22="","Pending",IF(AND(H22&gt;G22,F22&lt;E22),"Late &amp; Short",IF(H22&gt;G22,"Late",IF(F22&lt;E22,"On Time but Short","On Time"))))</f>
        <v>Pending</v>
      </c>
      <c r="K22" s="40" t="n">
        <f aca="false">MAX(E22-F22,0)</f>
        <v>0</v>
      </c>
      <c r="L22" s="41" t="str">
        <f aca="false">IF(J22="Pending","Pending Confirmation",IF(AND(I22&gt;0,K22&gt;0),"Late &amp; Short",IF(I22&gt;0,"Late Delivery",IF(K22&gt;0,"Short Delivery","No Exception"))))</f>
        <v>Pending Confirmation</v>
      </c>
      <c r="M22" s="41" t="str">
        <f aca="false">IF(L22="No Exception","Normal",IF(OR(L22="Late &amp; Short",L22="Short Delivery"),"High","Medium"))</f>
        <v>Medium</v>
      </c>
      <c r="N22" s="42" t="str">
        <f aca="false">IF(L22="No Exception","No action required",IF(L22="Pending Confirmation","Follow up for supplier confirmation",IF(L22="Late &amp; Short","Expedite and confirm recovery quantity",IF(L22="Late Delivery","Confirm revised delivery date","Request quantity recovery"))))</f>
        <v>Follow up for supplier confirmation</v>
      </c>
    </row>
    <row r="23" customFormat="false" ht="15" hidden="false" customHeight="true" outlineLevel="0" collapsed="false">
      <c r="A23" s="36" t="s">
        <v>102</v>
      </c>
      <c r="B23" s="37" t="s">
        <v>103</v>
      </c>
      <c r="C23" s="36" t="s">
        <v>75</v>
      </c>
      <c r="D23" s="37" t="s">
        <v>76</v>
      </c>
      <c r="E23" s="36" t="n">
        <v>260</v>
      </c>
      <c r="F23" s="38" t="n">
        <v>260</v>
      </c>
      <c r="G23" s="39" t="n">
        <v>46300</v>
      </c>
      <c r="H23" s="39" t="n">
        <v>46300</v>
      </c>
      <c r="I23" s="36" t="n">
        <f aca="false">IF(H23="","",H23-G23)</f>
        <v>0</v>
      </c>
      <c r="J23" s="36" t="str">
        <f aca="false">IF(H23="","Pending",IF(AND(H23&gt;G23,F23&lt;E23),"Late &amp; Short",IF(H23&gt;G23,"Late",IF(F23&lt;E23,"On Time but Short","On Time"))))</f>
        <v>On Time</v>
      </c>
      <c r="K23" s="40" t="n">
        <f aca="false">MAX(E23-F23,0)</f>
        <v>0</v>
      </c>
      <c r="L23" s="41" t="str">
        <f aca="false">IF(J23="Pending","Pending Confirmation",IF(AND(I23&gt;0,K23&gt;0),"Late &amp; Short",IF(I23&gt;0,"Late Delivery",IF(K23&gt;0,"Short Delivery","No Exception"))))</f>
        <v>No Exception</v>
      </c>
      <c r="M23" s="41" t="str">
        <f aca="false">IF(L23="No Exception","Normal",IF(OR(L23="Late &amp; Short",L23="Short Delivery"),"High","Medium"))</f>
        <v>Normal</v>
      </c>
      <c r="N23" s="42" t="str">
        <f aca="false">IF(L23="No Exception","No action required",IF(L23="Pending Confirmation","Follow up for supplier confirmation",IF(L23="Late &amp; Short","Expedite and confirm recovery quantity",IF(L23="Late Delivery","Confirm revised delivery date","Request quantity recovery"))))</f>
        <v>No action required</v>
      </c>
    </row>
    <row r="24" customFormat="false" ht="15" hidden="false" customHeight="true" outlineLevel="0" collapsed="false">
      <c r="A24" s="36" t="s">
        <v>104</v>
      </c>
      <c r="B24" s="37" t="s">
        <v>103</v>
      </c>
      <c r="C24" s="36" t="s">
        <v>75</v>
      </c>
      <c r="D24" s="37" t="s">
        <v>76</v>
      </c>
      <c r="E24" s="36" t="n">
        <v>260</v>
      </c>
      <c r="F24" s="38" t="n">
        <v>260</v>
      </c>
      <c r="G24" s="39" t="n">
        <v>46307</v>
      </c>
      <c r="H24" s="39" t="n">
        <v>46306</v>
      </c>
      <c r="I24" s="36" t="n">
        <f aca="false">IF(H24="","",H24-G24)</f>
        <v>-1</v>
      </c>
      <c r="J24" s="36" t="str">
        <f aca="false">IF(H24="","Pending",IF(AND(H24&gt;G24,F24&lt;E24),"Late &amp; Short",IF(H24&gt;G24,"Late",IF(F24&lt;E24,"On Time but Short","On Time"))))</f>
        <v>On Time</v>
      </c>
      <c r="K24" s="40" t="n">
        <f aca="false">MAX(E24-F24,0)</f>
        <v>0</v>
      </c>
      <c r="L24" s="41" t="str">
        <f aca="false">IF(J24="Pending","Pending Confirmation",IF(AND(I24&gt;0,K24&gt;0),"Late &amp; Short",IF(I24&gt;0,"Late Delivery",IF(K24&gt;0,"Short Delivery","No Exception"))))</f>
        <v>No Exception</v>
      </c>
      <c r="M24" s="41" t="str">
        <f aca="false">IF(L24="No Exception","Normal",IF(OR(L24="Late &amp; Short",L24="Short Delivery"),"High","Medium"))</f>
        <v>Normal</v>
      </c>
      <c r="N24" s="42" t="str">
        <f aca="false">IF(L24="No Exception","No action required",IF(L24="Pending Confirmation","Follow up for supplier confirmation",IF(L24="Late &amp; Short","Expedite and confirm recovery quantity",IF(L24="Late Delivery","Confirm revised delivery date","Request quantity recovery"))))</f>
        <v>No action required</v>
      </c>
    </row>
    <row r="25" customFormat="false" ht="15" hidden="false" customHeight="true" outlineLevel="0" collapsed="false">
      <c r="A25" s="36" t="s">
        <v>105</v>
      </c>
      <c r="B25" s="37" t="s">
        <v>103</v>
      </c>
      <c r="C25" s="36" t="s">
        <v>75</v>
      </c>
      <c r="D25" s="37" t="s">
        <v>76</v>
      </c>
      <c r="E25" s="36" t="n">
        <v>280</v>
      </c>
      <c r="F25" s="38" t="n">
        <v>280</v>
      </c>
      <c r="G25" s="39" t="n">
        <v>46314</v>
      </c>
      <c r="H25" s="39" t="n">
        <v>46318</v>
      </c>
      <c r="I25" s="36" t="n">
        <f aca="false">IF(H25="","",H25-G25)</f>
        <v>4</v>
      </c>
      <c r="J25" s="36" t="str">
        <f aca="false">IF(H25="","Pending",IF(AND(H25&gt;G25,F25&lt;E25),"Late &amp; Short",IF(H25&gt;G25,"Late",IF(F25&lt;E25,"On Time but Short","On Time"))))</f>
        <v>Late</v>
      </c>
      <c r="K25" s="40" t="n">
        <f aca="false">MAX(E25-F25,0)</f>
        <v>0</v>
      </c>
      <c r="L25" s="41" t="str">
        <f aca="false">IF(J25="Pending","Pending Confirmation",IF(AND(I25&gt;0,K25&gt;0),"Late &amp; Short",IF(I25&gt;0,"Late Delivery",IF(K25&gt;0,"Short Delivery","No Exception"))))</f>
        <v>Late Delivery</v>
      </c>
      <c r="M25" s="41" t="str">
        <f aca="false">IF(L25="No Exception","Normal",IF(OR(L25="Late &amp; Short",L25="Short Delivery"),"High","Medium"))</f>
        <v>Medium</v>
      </c>
      <c r="N25" s="42" t="str">
        <f aca="false">IF(L25="No Exception","No action required",IF(L25="Pending Confirmation","Follow up for supplier confirmation",IF(L25="Late &amp; Short","Expedite and confirm recovery quantity",IF(L25="Late Delivery","Confirm revised delivery date","Request quantity recovery"))))</f>
        <v>Confirm revised delivery date</v>
      </c>
    </row>
    <row r="26" customFormat="false" ht="15" hidden="false" customHeight="true" outlineLevel="0" collapsed="false">
      <c r="A26" s="36" t="s">
        <v>106</v>
      </c>
      <c r="B26" s="37" t="s">
        <v>103</v>
      </c>
      <c r="C26" s="36" t="s">
        <v>75</v>
      </c>
      <c r="D26" s="37" t="s">
        <v>76</v>
      </c>
      <c r="E26" s="36" t="n">
        <v>280</v>
      </c>
      <c r="F26" s="38" t="n">
        <v>280</v>
      </c>
      <c r="G26" s="39" t="n">
        <v>46321</v>
      </c>
      <c r="H26" s="39" t="n">
        <v>46321</v>
      </c>
      <c r="I26" s="36" t="n">
        <f aca="false">IF(H26="","",H26-G26)</f>
        <v>0</v>
      </c>
      <c r="J26" s="36" t="str">
        <f aca="false">IF(H26="","Pending",IF(AND(H26&gt;G26,F26&lt;E26),"Late &amp; Short",IF(H26&gt;G26,"Late",IF(F26&lt;E26,"On Time but Short","On Time"))))</f>
        <v>On Time</v>
      </c>
      <c r="K26" s="40" t="n">
        <f aca="false">MAX(E26-F26,0)</f>
        <v>0</v>
      </c>
      <c r="L26" s="41" t="str">
        <f aca="false">IF(J26="Pending","Pending Confirmation",IF(AND(I26&gt;0,K26&gt;0),"Late &amp; Short",IF(I26&gt;0,"Late Delivery",IF(K26&gt;0,"Short Delivery","No Exception"))))</f>
        <v>No Exception</v>
      </c>
      <c r="M26" s="41" t="str">
        <f aca="false">IF(L26="No Exception","Normal",IF(OR(L26="Late &amp; Short",L26="Short Delivery"),"High","Medium"))</f>
        <v>Normal</v>
      </c>
      <c r="N26" s="42" t="str">
        <f aca="false">IF(L26="No Exception","No action required",IF(L26="Pending Confirmation","Follow up for supplier confirmation",IF(L26="Late &amp; Short","Expedite and confirm recovery quantity",IF(L26="Late Delivery","Confirm revised delivery date","Request quantity recovery"))))</f>
        <v>No action required</v>
      </c>
    </row>
    <row r="27" customFormat="false" ht="15" hidden="false" customHeight="true" outlineLevel="0" collapsed="false">
      <c r="A27" s="36" t="s">
        <v>107</v>
      </c>
      <c r="B27" s="37" t="s">
        <v>103</v>
      </c>
      <c r="C27" s="36" t="s">
        <v>75</v>
      </c>
      <c r="D27" s="37" t="s">
        <v>76</v>
      </c>
      <c r="E27" s="36" t="n">
        <v>300</v>
      </c>
      <c r="F27" s="38" t="n">
        <v>300</v>
      </c>
      <c r="G27" s="39" t="n">
        <v>46328</v>
      </c>
      <c r="H27" s="39" t="n">
        <v>46328</v>
      </c>
      <c r="I27" s="36" t="n">
        <f aca="false">IF(H27="","",H27-G27)</f>
        <v>0</v>
      </c>
      <c r="J27" s="36" t="str">
        <f aca="false">IF(H27="","Pending",IF(AND(H27&gt;G27,F27&lt;E27),"Late &amp; Short",IF(H27&gt;G27,"Late",IF(F27&lt;E27,"On Time but Short","On Time"))))</f>
        <v>On Time</v>
      </c>
      <c r="K27" s="40" t="n">
        <f aca="false">MAX(E27-F27,0)</f>
        <v>0</v>
      </c>
      <c r="L27" s="41" t="str">
        <f aca="false">IF(J27="Pending","Pending Confirmation",IF(AND(I27&gt;0,K27&gt;0),"Late &amp; Short",IF(I27&gt;0,"Late Delivery",IF(K27&gt;0,"Short Delivery","No Exception"))))</f>
        <v>No Exception</v>
      </c>
      <c r="M27" s="41" t="str">
        <f aca="false">IF(L27="No Exception","Normal",IF(OR(L27="Late &amp; Short",L27="Short Delivery"),"High","Medium"))</f>
        <v>Normal</v>
      </c>
      <c r="N27" s="42" t="str">
        <f aca="false">IF(L27="No Exception","No action required",IF(L27="Pending Confirmation","Follow up for supplier confirmation",IF(L27="Late &amp; Short","Expedite and confirm recovery quantity",IF(L27="Late Delivery","Confirm revised delivery date","Request quantity recovery"))))</f>
        <v>No action required</v>
      </c>
    </row>
    <row r="28" customFormat="false" ht="15" hidden="false" customHeight="true" outlineLevel="0" collapsed="false">
      <c r="A28" s="36" t="s">
        <v>108</v>
      </c>
      <c r="B28" s="37" t="s">
        <v>103</v>
      </c>
      <c r="C28" s="36" t="s">
        <v>75</v>
      </c>
      <c r="D28" s="37" t="s">
        <v>76</v>
      </c>
      <c r="E28" s="36" t="n">
        <v>300</v>
      </c>
      <c r="F28" s="38" t="n">
        <v>300</v>
      </c>
      <c r="G28" s="39" t="n">
        <v>46335</v>
      </c>
      <c r="H28" s="39"/>
      <c r="I28" s="36" t="str">
        <f aca="false">IF(H28="","",H28-G28)</f>
        <v/>
      </c>
      <c r="J28" s="36" t="str">
        <f aca="false">IF(H28="","Pending",IF(AND(H28&gt;G28,F28&lt;E28),"Late &amp; Short",IF(H28&gt;G28,"Late",IF(F28&lt;E28,"On Time but Short","On Time"))))</f>
        <v>Pending</v>
      </c>
      <c r="K28" s="40" t="n">
        <f aca="false">MAX(E28-F28,0)</f>
        <v>0</v>
      </c>
      <c r="L28" s="41" t="str">
        <f aca="false">IF(J28="Pending","Pending Confirmation",IF(AND(I28&gt;0,K28&gt;0),"Late &amp; Short",IF(I28&gt;0,"Late Delivery",IF(K28&gt;0,"Short Delivery","No Exception"))))</f>
        <v>Pending Confirmation</v>
      </c>
      <c r="M28" s="41" t="str">
        <f aca="false">IF(L28="No Exception","Normal",IF(OR(L28="Late &amp; Short",L28="Short Delivery"),"High","Medium"))</f>
        <v>Medium</v>
      </c>
      <c r="N28" s="42" t="str">
        <f aca="false">IF(L28="No Exception","No action required",IF(L28="Pending Confirmation","Follow up for supplier confirmation",IF(L28="Late &amp; Short","Expedite and confirm recovery quantity",IF(L28="Late Delivery","Confirm revised delivery date","Request quantity recovery"))))</f>
        <v>Follow up for supplier confirmation</v>
      </c>
    </row>
  </sheetData>
  <conditionalFormatting sqref="J5:J28">
    <cfRule type="expression" priority="2" aboveAverage="0" equalAverage="0" bottom="0" percent="0" rank="0" text="" dxfId="10">
      <formula>OR(J5="Late",J5="Late &amp; Short",J5="On Time but Short")</formula>
    </cfRule>
    <cfRule type="expression" priority="3" aboveAverage="0" equalAverage="0" bottom="0" percent="0" rank="0" text="" dxfId="11">
      <formula>J5="On Time"</formula>
    </cfRule>
  </conditionalFormatting>
  <conditionalFormatting sqref="L5:L28">
    <cfRule type="expression" priority="4" aboveAverage="0" equalAverage="0" bottom="0" percent="0" rank="0" text="" dxfId="12">
      <formula>$L5="Late &amp; Short"</formula>
    </cfRule>
    <cfRule type="expression" priority="5" aboveAverage="0" equalAverage="0" bottom="0" percent="0" rank="0" text="" dxfId="13">
      <formula>$L5="Late Delivery"</formula>
    </cfRule>
    <cfRule type="expression" priority="6" aboveAverage="0" equalAverage="0" bottom="0" percent="0" rank="0" text="" dxfId="13">
      <formula>$L5="Short Delivery"</formula>
    </cfRule>
    <cfRule type="expression" priority="7" aboveAverage="0" equalAverage="0" bottom="0" percent="0" rank="0" text="" dxfId="14">
      <formula>$L5="Pending Confirmation"</formula>
    </cfRule>
  </conditionalFormatting>
  <conditionalFormatting sqref="M5:M28">
    <cfRule type="expression" priority="8" aboveAverage="0" equalAverage="0" bottom="0" percent="0" rank="0" text="" dxfId="12">
      <formula>$M5="High"</formula>
    </cfRule>
    <cfRule type="expression" priority="9" aboveAverage="0" equalAverage="0" bottom="0" percent="0" rank="0" text="" dxfId="14">
      <formula>$M5="Medium"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8"/>
    <col collapsed="false" customWidth="true" hidden="false" outlineLevel="0" max="4" min="3" style="1" width="20"/>
    <col collapsed="false" customWidth="true" hidden="false" outlineLevel="0" max="6" min="5" style="1" width="12"/>
  </cols>
  <sheetData>
    <row r="1" customFormat="false" ht="17.25" hidden="false" customHeight="true" outlineLevel="0" collapsed="false">
      <c r="A1" s="34" t="s">
        <v>109</v>
      </c>
    </row>
    <row r="2" customFormat="false" ht="15" hidden="false" customHeight="true" outlineLevel="0" collapsed="false">
      <c r="A2" s="3" t="s">
        <v>110</v>
      </c>
    </row>
    <row r="4" customFormat="false" ht="26.25" hidden="false" customHeight="true" outlineLevel="0" collapsed="false">
      <c r="A4" s="35" t="s">
        <v>40</v>
      </c>
      <c r="B4" s="35" t="s">
        <v>41</v>
      </c>
      <c r="C4" s="35" t="s">
        <v>111</v>
      </c>
      <c r="D4" s="35" t="s">
        <v>112</v>
      </c>
      <c r="E4" s="35" t="s">
        <v>113</v>
      </c>
      <c r="F4" s="35" t="s">
        <v>47</v>
      </c>
    </row>
    <row r="5" customFormat="false" ht="15" hidden="false" customHeight="true" outlineLevel="0" collapsed="false">
      <c r="A5" s="36" t="s">
        <v>69</v>
      </c>
      <c r="B5" s="36" t="s">
        <v>70</v>
      </c>
      <c r="C5" s="36" t="n">
        <f aca="false">SUMIFS('Demand Forecast'!$D$5:$D$28,'Demand Forecast'!$A$5:$A$28,A5)</f>
        <v>2700</v>
      </c>
      <c r="D5" s="36" t="n">
        <f aca="false">SUMIFS('Supplier Orders'!$F$5:$F$28,'Supplier Orders'!$C$5:$C$28,A5)</f>
        <v>2650</v>
      </c>
      <c r="E5" s="43" t="n">
        <f aca="false">IFERROR(D5/C5,0)</f>
        <v>0.981481481481482</v>
      </c>
      <c r="F5" s="44" t="str">
        <f aca="false">IF(E5&lt;1,"AT RISK","OK")</f>
        <v>AT RISK</v>
      </c>
    </row>
    <row r="6" customFormat="false" ht="15" hidden="false" customHeight="true" outlineLevel="0" collapsed="false">
      <c r="A6" s="36" t="s">
        <v>71</v>
      </c>
      <c r="B6" s="36" t="s">
        <v>72</v>
      </c>
      <c r="C6" s="36" t="n">
        <f aca="false">SUMIFS('Demand Forecast'!$D$5:$D$28,'Demand Forecast'!$A$5:$A$28,A6)</f>
        <v>5020</v>
      </c>
      <c r="D6" s="36" t="n">
        <f aca="false">SUMIFS('Supplier Orders'!$F$5:$F$28,'Supplier Orders'!$C$5:$C$28,A6)</f>
        <v>5020</v>
      </c>
      <c r="E6" s="43" t="n">
        <f aca="false">IFERROR(D6/C6,0)</f>
        <v>1</v>
      </c>
      <c r="F6" s="44" t="str">
        <f aca="false">IF(E6&lt;1,"AT RISK","OK")</f>
        <v>OK</v>
      </c>
    </row>
    <row r="7" customFormat="false" ht="15" hidden="false" customHeight="true" outlineLevel="0" collapsed="false">
      <c r="A7" s="36" t="s">
        <v>73</v>
      </c>
      <c r="B7" s="36" t="s">
        <v>74</v>
      </c>
      <c r="C7" s="36" t="n">
        <f aca="false">SUMIFS('Demand Forecast'!$D$5:$D$28,'Demand Forecast'!$A$5:$A$28,A7)</f>
        <v>1880</v>
      </c>
      <c r="D7" s="36" t="n">
        <f aca="false">SUMIFS('Supplier Orders'!$F$5:$F$28,'Supplier Orders'!$C$5:$C$28,A7)</f>
        <v>1860</v>
      </c>
      <c r="E7" s="43" t="n">
        <f aca="false">IFERROR(D7/C7,0)</f>
        <v>0.98936170212766</v>
      </c>
      <c r="F7" s="44" t="str">
        <f aca="false">IF(E7&lt;1,"AT RISK","OK")</f>
        <v>AT RISK</v>
      </c>
    </row>
    <row r="8" customFormat="false" ht="15" hidden="false" customHeight="true" outlineLevel="0" collapsed="false">
      <c r="A8" s="36" t="s">
        <v>75</v>
      </c>
      <c r="B8" s="36" t="s">
        <v>76</v>
      </c>
      <c r="C8" s="36" t="n">
        <f aca="false">SUMIFS('Demand Forecast'!$D$5:$D$28,'Demand Forecast'!$A$5:$A$28,A8)</f>
        <v>1680</v>
      </c>
      <c r="D8" s="36" t="n">
        <f aca="false">SUMIFS('Supplier Orders'!$F$5:$F$28,'Supplier Orders'!$C$5:$C$28,A8)</f>
        <v>1680</v>
      </c>
      <c r="E8" s="43" t="n">
        <f aca="false">IFERROR(D8/C8,0)</f>
        <v>1</v>
      </c>
      <c r="F8" s="44" t="str">
        <f aca="false">IF(E8&lt;1,"AT RISK","OK")</f>
        <v>OK</v>
      </c>
    </row>
  </sheetData>
  <conditionalFormatting sqref="F5:F8">
    <cfRule type="cellIs" priority="2" operator="equal" aboveAverage="0" equalAverage="0" bottom="0" percent="0" rank="0" text="" dxfId="10">
      <formula>"AT RISK"</formula>
    </cfRule>
    <cfRule type="cellIs" priority="3" operator="equal" aboveAverage="0" equalAverage="0" bottom="0" percent="0" rank="0" text="" dxfId="11">
      <formula>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sheetData>
    <row r="1" customFormat="false" ht="17.25" hidden="false" customHeight="true" outlineLevel="0" collapsed="false">
      <c r="A1" s="34" t="s">
        <v>114</v>
      </c>
    </row>
    <row r="2" customFormat="false" ht="15" hidden="false" customHeight="true" outlineLevel="0" collapsed="false">
      <c r="A2" s="3" t="s">
        <v>115</v>
      </c>
    </row>
    <row r="4" customFormat="false" ht="15" hidden="false" customHeight="true" outlineLevel="0" collapsed="false">
      <c r="A4" s="45" t="s">
        <v>116</v>
      </c>
      <c r="B4" s="46" t="s">
        <v>89</v>
      </c>
    </row>
    <row r="5" customFormat="false" ht="15" hidden="false" customHeight="true" outlineLevel="0" collapsed="false">
      <c r="A5" s="45" t="s">
        <v>117</v>
      </c>
      <c r="B5" s="46" t="n">
        <v>10</v>
      </c>
    </row>
    <row r="7" customFormat="false" ht="77.25" hidden="false" customHeight="true" outlineLevel="0" collapsed="false">
      <c r="A7" s="35" t="s">
        <v>40</v>
      </c>
      <c r="B7" s="35" t="s">
        <v>41</v>
      </c>
      <c r="C7" s="35" t="s">
        <v>111</v>
      </c>
      <c r="D7" s="35" t="s">
        <v>112</v>
      </c>
      <c r="E7" s="35" t="s">
        <v>118</v>
      </c>
      <c r="F7" s="35" t="s">
        <v>119</v>
      </c>
      <c r="G7" s="35" t="s">
        <v>120</v>
      </c>
      <c r="H7" s="35" t="s">
        <v>121</v>
      </c>
      <c r="I7" s="35" t="s">
        <v>122</v>
      </c>
    </row>
    <row r="8" customFormat="false" ht="15" hidden="false" customHeight="true" outlineLevel="0" collapsed="false">
      <c r="A8" s="36" t="s">
        <v>69</v>
      </c>
      <c r="B8" s="36" t="s">
        <v>70</v>
      </c>
      <c r="C8" s="36" t="n">
        <f aca="false">'Stock Coverage Dashboard'!C5</f>
        <v>2700</v>
      </c>
      <c r="D8" s="36" t="n">
        <f aca="false">'Stock Coverage Dashboard'!D5</f>
        <v>2650</v>
      </c>
      <c r="E8" s="36" t="n">
        <f aca="false">SUMIFS('Supplier Orders'!$F$5:$F$28,'Supplier Orders'!$C$5:$C$28,A8,'Supplier Orders'!$B$5:$B$28,$B$4)</f>
        <v>0</v>
      </c>
      <c r="F8" s="36" t="n">
        <f aca="false">IF($B$5&gt;0,E8,0)</f>
        <v>0</v>
      </c>
      <c r="G8" s="36" t="n">
        <f aca="false">D8-F8</f>
        <v>2650</v>
      </c>
      <c r="H8" s="43" t="n">
        <f aca="false">IFERROR(G8/C8,0)</f>
        <v>0.981481481481482</v>
      </c>
      <c r="I8" s="44" t="str">
        <f aca="false">IF(AND(F8&gt;0,H8&lt;1),"AT RISK","OK")</f>
        <v>OK</v>
      </c>
    </row>
    <row r="9" customFormat="false" ht="15" hidden="false" customHeight="true" outlineLevel="0" collapsed="false">
      <c r="A9" s="36" t="s">
        <v>71</v>
      </c>
      <c r="B9" s="36" t="s">
        <v>72</v>
      </c>
      <c r="C9" s="36" t="n">
        <f aca="false">'Stock Coverage Dashboard'!C6</f>
        <v>5020</v>
      </c>
      <c r="D9" s="36" t="n">
        <f aca="false">'Stock Coverage Dashboard'!D6</f>
        <v>5020</v>
      </c>
      <c r="E9" s="36" t="n">
        <f aca="false">SUMIFS('Supplier Orders'!$F$5:$F$28,'Supplier Orders'!$C$5:$C$28,A9,'Supplier Orders'!$B$5:$B$28,$B$4)</f>
        <v>5020</v>
      </c>
      <c r="F9" s="36" t="n">
        <f aca="false">IF($B$5&gt;0,E9,0)</f>
        <v>5020</v>
      </c>
      <c r="G9" s="36" t="n">
        <f aca="false">D9-F9</f>
        <v>0</v>
      </c>
      <c r="H9" s="43" t="n">
        <f aca="false">IFERROR(G9/C9,0)</f>
        <v>0</v>
      </c>
      <c r="I9" s="44" t="str">
        <f aca="false">IF(AND(F9&gt;0,H9&lt;1),"AT RISK","OK")</f>
        <v>AT RISK</v>
      </c>
    </row>
    <row r="10" customFormat="false" ht="15" hidden="false" customHeight="true" outlineLevel="0" collapsed="false">
      <c r="A10" s="36" t="s">
        <v>73</v>
      </c>
      <c r="B10" s="36" t="s">
        <v>74</v>
      </c>
      <c r="C10" s="36" t="n">
        <f aca="false">'Stock Coverage Dashboard'!C7</f>
        <v>1880</v>
      </c>
      <c r="D10" s="36" t="n">
        <f aca="false">'Stock Coverage Dashboard'!D7</f>
        <v>1860</v>
      </c>
      <c r="E10" s="36" t="n">
        <f aca="false">SUMIFS('Supplier Orders'!$F$5:$F$28,'Supplier Orders'!$C$5:$C$28,A10,'Supplier Orders'!$B$5:$B$28,$B$4)</f>
        <v>0</v>
      </c>
      <c r="F10" s="36" t="n">
        <f aca="false">IF($B$5&gt;0,E10,0)</f>
        <v>0</v>
      </c>
      <c r="G10" s="36" t="n">
        <f aca="false">D10-F10</f>
        <v>1860</v>
      </c>
      <c r="H10" s="43" t="n">
        <f aca="false">IFERROR(G10/C10,0)</f>
        <v>0.98936170212766</v>
      </c>
      <c r="I10" s="44" t="str">
        <f aca="false">IF(AND(F10&gt;0,H10&lt;1),"AT RISK","OK")</f>
        <v>OK</v>
      </c>
    </row>
    <row r="11" customFormat="false" ht="15" hidden="false" customHeight="true" outlineLevel="0" collapsed="false">
      <c r="A11" s="36" t="s">
        <v>75</v>
      </c>
      <c r="B11" s="36" t="s">
        <v>76</v>
      </c>
      <c r="C11" s="36" t="n">
        <f aca="false">'Stock Coverage Dashboard'!C8</f>
        <v>1680</v>
      </c>
      <c r="D11" s="36" t="n">
        <f aca="false">'Stock Coverage Dashboard'!D8</f>
        <v>1680</v>
      </c>
      <c r="E11" s="36" t="n">
        <f aca="false">SUMIFS('Supplier Orders'!$F$5:$F$28,'Supplier Orders'!$C$5:$C$28,A11,'Supplier Orders'!$B$5:$B$28,$B$4)</f>
        <v>0</v>
      </c>
      <c r="F11" s="36" t="n">
        <f aca="false">IF($B$5&gt;0,E11,0)</f>
        <v>0</v>
      </c>
      <c r="G11" s="36" t="n">
        <f aca="false">D11-F11</f>
        <v>1680</v>
      </c>
      <c r="H11" s="43" t="n">
        <f aca="false">IFERROR(G11/C11,0)</f>
        <v>1</v>
      </c>
      <c r="I11" s="44" t="str">
        <f aca="false">IF(AND(F11&gt;0,H11&lt;1),"AT RISK","OK")</f>
        <v>OK</v>
      </c>
    </row>
    <row r="13" customFormat="false" ht="15" hidden="false" customHeight="true" outlineLevel="0" collapsed="false">
      <c r="A13" s="3" t="s">
        <v>123</v>
      </c>
    </row>
    <row r="14" customFormat="false" ht="30" hidden="false" customHeight="true" outlineLevel="0" collapsed="false">
      <c r="A14" s="47" t="s">
        <v>124</v>
      </c>
      <c r="B14" s="47"/>
      <c r="C14" s="47"/>
      <c r="D14" s="47"/>
      <c r="E14" s="47"/>
      <c r="F14" s="47"/>
      <c r="G14" s="47"/>
      <c r="H14" s="47"/>
      <c r="I14" s="47"/>
    </row>
  </sheetData>
  <mergeCells count="1">
    <mergeCell ref="A14:I14"/>
  </mergeCells>
  <conditionalFormatting sqref="I8:I11">
    <cfRule type="cellIs" priority="2" operator="equal" aboveAverage="0" equalAverage="0" bottom="0" percent="0" rank="0" text="" dxfId="10">
      <formula>"AT RISK"</formula>
    </cfRule>
    <cfRule type="cellIs" priority="3" operator="equal" aboveAverage="0" equalAverage="0" bottom="0" percent="0" rank="0" text="" dxfId="11">
      <formula>"OK"</formula>
    </cfRule>
  </conditionalFormatting>
  <dataValidations count="1">
    <dataValidation allowBlank="false" errorStyle="stop" operator="between" showDropDown="false" showErrorMessage="false" showInputMessage="false" sqref="B4" type="list">
      <formula1>"Supplier Alpha,Supplier Beta,Supplier Gamma,Supplier Delta"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2026-09-27T14:54:59Z</dcterms:created>
  <dc:creator>openpyxl</dc:creator>
  <dc:description/>
  <dc:language>en-US</dc:language>
  <cp:lastModifiedBy/>
  <dcterms:modified xsi:type="dcterms:W3CDTF">2026-09-28T12:58:51Z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