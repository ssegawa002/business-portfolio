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pplier Data" sheetId="2" state="visible" r:id="rId4"/>
    <sheet name="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<sst xmlns="http://schemas.openxmlformats.org/spreadsheetml/2006/main" count="59" uniqueCount="54">
  <si>
    <t xml:space="preserve">Supplier Sustainability Scorecard</t>
  </si>
  <si>
    <t xml:space="preserve">Sample project — blending supplier sustainability metrics with delivery performance</t>
  </si>
  <si>
    <t xml:space="preserve">PURPOSE</t>
  </si>
  <si>
    <t xml:space="preserve">Built to practise a sourcing decision that comes up across procurement and supply chain roles:</t>
  </si>
  <si>
    <t xml:space="preserve">suppliers aren't chosen on price and delivery reliability alone anymore — increasingly, buyers are</t>
  </si>
  <si>
    <t xml:space="preserve">expected to weigh environmental performance too. This workbook scores a small supplier panel on</t>
  </si>
  <si>
    <t xml:space="preserve">both, and blends them into a single composite sourcing score.</t>
  </si>
  <si>
    <t xml:space="preserve">TABS</t>
  </si>
  <si>
    <t xml:space="preserve">1. Supplier Data       — sustainability inputs (emissions, renewable energy use, certification,</t>
  </si>
  <si>
    <t xml:space="preserve">                          distance) and a delivery performance summary per supplier.</t>
  </si>
  <si>
    <t xml:space="preserve">2. Scorecard            — calculates a weighted Sustainability Score and a Composite Sourcing</t>
  </si>
  <si>
    <t xml:space="preserve">                          Score per supplier, with automatic colour flags.</t>
  </si>
  <si>
    <t xml:space="preserve">METHODOLOGY</t>
  </si>
  <si>
    <t xml:space="preserve">Sustainability Score (0-100) weights: emissions intensity 35% (lower is better), renewable energy</t>
  </si>
  <si>
    <t xml:space="preserve">use 25%, third-party environmental certification 20%, and proximity to site 20% (shorter transport</t>
  </si>
  <si>
    <t xml:space="preserve">distance = lower logistics emissions). Emissions and distance are normalised with min-max scaling</t>
  </si>
  <si>
    <t xml:space="preserve">across the supplier panel, so scores are relative to this panel, not an absolute external</t>
  </si>
  <si>
    <t xml:space="preserve">benchmark. Composite Sourcing Score blends Sustainability Score (60%) with on-time delivery rate</t>
  </si>
  <si>
    <t xml:space="preserve">(40%) — a simple, adjustable model of how a buyer might balance the two when allocating volume.</t>
  </si>
  <si>
    <t xml:space="preserve">HOW TO USE</t>
  </si>
  <si>
    <t xml:space="preserve">Cells shaded YELLOW with BLUE text are the only inputs meant to be edited, on the Supplier Data</t>
  </si>
  <si>
    <t xml:space="preserve">tab. Everything on the Scorecard tab is a formula and recalculates automatically. Try changing</t>
  </si>
  <si>
    <t xml:space="preserve">the weights described above (hard-coded in the Scorecard formulas) to see how sensitive the</t>
  </si>
  <si>
    <t xml:space="preserve">ranking is to how much weight sustainability gets relative to delivery performance.</t>
  </si>
  <si>
    <t xml:space="preserve">NOTE ON DATA</t>
  </si>
  <si>
    <t xml:space="preserve">Supplier data in this file is illustrative sample data built to demonstrate the scoring model —</t>
  </si>
  <si>
    <t xml:space="preserve">not real business data. On-time delivery rate here is entered directly as a summary figure; in</t>
  </si>
  <si>
    <t xml:space="preserve">the companion Inventory Replenishment &amp; Supplier Performance Tracker project it's calculated</t>
  </si>
  <si>
    <t xml:space="preserve">automatically from individual purchase orders.</t>
  </si>
  <si>
    <t xml:space="preserve">Supplier Data</t>
  </si>
  <si>
    <t xml:space="preserve">Sustainability inputs and delivery performance summary per supplier</t>
  </si>
  <si>
    <t xml:space="preserve">Supplier</t>
  </si>
  <si>
    <t xml:space="preserve">Category Supplied</t>
  </si>
  <si>
    <t xml:space="preserve">CO2 Emissions (kg CO2e/unit)</t>
  </si>
  <si>
    <t xml:space="preserve">Renewable Energy Use (%)</t>
  </si>
  <si>
    <t xml:space="preserve">ISO 14001 Certified</t>
  </si>
  <si>
    <t xml:space="preserve">Distance to Site (km)</t>
  </si>
  <si>
    <t xml:space="preserve">On-Time Delivery Rate (last 6 orders)</t>
  </si>
  <si>
    <t xml:space="preserve">Supplier Alpha</t>
  </si>
  <si>
    <t xml:space="preserve">Electronics components</t>
  </si>
  <si>
    <t xml:space="preserve">Yes</t>
  </si>
  <si>
    <t xml:space="preserve">Supplier Beta</t>
  </si>
  <si>
    <t xml:space="preserve">Packaging &amp; accessories</t>
  </si>
  <si>
    <t xml:space="preserve">Supplier Gamma</t>
  </si>
  <si>
    <t xml:space="preserve">Cables &amp; connectors</t>
  </si>
  <si>
    <t xml:space="preserve">No</t>
  </si>
  <si>
    <t xml:space="preserve">Supplier Delta</t>
  </si>
  <si>
    <t xml:space="preserve">Hardware &amp; fittings</t>
  </si>
  <si>
    <t xml:space="preserve">Weighted Sustainability Score blended with on-time delivery into one Composite Sourcing Score</t>
  </si>
  <si>
    <t xml:space="preserve">Sustainability Score</t>
  </si>
  <si>
    <t xml:space="preserve">On-Time Delivery Rate</t>
  </si>
  <si>
    <t xml:space="preserve">Composite Sourcing Score</t>
  </si>
  <si>
    <t xml:space="preserve">Recommendation</t>
  </si>
  <si>
    <t xml:space="preserve">Recommendation bands (adjustable): Composite score 75+ = Preferred (grow volume), 60-74 = Acceptable (maintain), below 60 = Review (raise with supplier or seek alternatives).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</si>
</sst>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C57"/>
      <name val="Arial"/>
      <family val="0"/>
      <charset val="1"/>
    </font>
    <font>
      <b val="true"/>
      <sz val="14"/>
      <color rgb="FF1F5C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57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C57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5" t="s">
        <v>29</v>
      </c>
    </row>
    <row r="2" customFormat="false" ht="15" hidden="false" customHeight="false" outlineLevel="0" collapsed="false">
      <c r="A2" s="2" t="s">
        <v>30</v>
      </c>
    </row>
    <row r="4" customFormat="false" ht="39.55" hidden="false" customHeight="fals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</row>
    <row r="5" customFormat="false" ht="15" hidden="false" customHeight="false" outlineLevel="0" collapsed="false">
      <c r="A5" s="7" t="s">
        <v>38</v>
      </c>
      <c r="B5" s="7" t="s">
        <v>39</v>
      </c>
      <c r="C5" s="8" t="n">
        <v>12.5</v>
      </c>
      <c r="D5" s="9" t="n">
        <v>0.4</v>
      </c>
      <c r="E5" s="8" t="s">
        <v>40</v>
      </c>
      <c r="F5" s="8" t="n">
        <v>180</v>
      </c>
      <c r="G5" s="9" t="n">
        <v>0.6</v>
      </c>
    </row>
    <row r="6" customFormat="false" ht="15" hidden="false" customHeight="false" outlineLevel="0" collapsed="false">
      <c r="A6" s="7" t="s">
        <v>41</v>
      </c>
      <c r="B6" s="7" t="s">
        <v>42</v>
      </c>
      <c r="C6" s="8" t="n">
        <v>8.2</v>
      </c>
      <c r="D6" s="9" t="n">
        <v>0.65</v>
      </c>
      <c r="E6" s="8" t="s">
        <v>40</v>
      </c>
      <c r="F6" s="8" t="n">
        <v>95</v>
      </c>
      <c r="G6" s="9" t="n">
        <v>0.8</v>
      </c>
    </row>
    <row r="7" customFormat="false" ht="15" hidden="false" customHeight="false" outlineLevel="0" collapsed="false">
      <c r="A7" s="7" t="s">
        <v>43</v>
      </c>
      <c r="B7" s="7" t="s">
        <v>44</v>
      </c>
      <c r="C7" s="8" t="n">
        <v>15</v>
      </c>
      <c r="D7" s="9" t="n">
        <v>0.2</v>
      </c>
      <c r="E7" s="8" t="s">
        <v>45</v>
      </c>
      <c r="F7" s="8" t="n">
        <v>310</v>
      </c>
      <c r="G7" s="9" t="n">
        <v>0.6</v>
      </c>
    </row>
    <row r="8" customFormat="false" ht="15" hidden="false" customHeight="false" outlineLevel="0" collapsed="false">
      <c r="A8" s="7" t="s">
        <v>46</v>
      </c>
      <c r="B8" s="7" t="s">
        <v>47</v>
      </c>
      <c r="C8" s="8" t="n">
        <v>9.6</v>
      </c>
      <c r="D8" s="9" t="n">
        <v>0.55</v>
      </c>
      <c r="E8" s="8" t="s">
        <v>40</v>
      </c>
      <c r="F8" s="8" t="n">
        <v>140</v>
      </c>
      <c r="G8" s="9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5" t="s">
        <v>0</v>
      </c>
    </row>
    <row r="2" customFormat="false" ht="15" hidden="false" customHeight="false" outlineLevel="0" collapsed="false">
      <c r="A2" s="2" t="s">
        <v>48</v>
      </c>
    </row>
    <row r="4" customFormat="false" ht="26.85" hidden="false" customHeight="false" outlineLevel="0" collapsed="false">
      <c r="A4" s="6" t="s">
        <v>31</v>
      </c>
      <c r="B4" s="6" t="s">
        <v>32</v>
      </c>
      <c r="C4" s="6" t="s">
        <v>49</v>
      </c>
      <c r="D4" s="6" t="s">
        <v>50</v>
      </c>
      <c r="E4" s="6" t="s">
        <v>51</v>
      </c>
      <c r="F4" s="6" t="s">
        <v>52</v>
      </c>
    </row>
    <row r="5" customFormat="false" ht="15" hidden="false" customHeight="false" outlineLevel="0" collapsed="false">
      <c r="A5" s="10" t="str">
        <f aca="false">'Supplier Data'!A5</f>
        <v>Supplier Alpha</v>
      </c>
      <c r="B5" s="10" t="str">
        <f aca="false">'Supplier Data'!B5</f>
        <v>Electronics components</v>
      </c>
      <c r="C5" s="11" t="n">
        <f aca="false">0.35*(1-('Supplier Data'!C5-MIN('Supplier Data'!$C$5:$C$8))/(MAX('Supplier Data'!$C$5:$C$8)-MIN('Supplier Data'!$C$5:$C$8)))*100+0.25*'Supplier Data'!D5*100+0.2*IF('Supplier Data'!E5="Yes",100,0)+0.2*(1-('Supplier Data'!F5-MIN('Supplier Data'!$F$5:$F$8))/(MAX('Supplier Data'!$F$5:$F$8)-MIN('Supplier Data'!$F$5:$F$8)))*100</f>
        <v>54.9606703146375</v>
      </c>
      <c r="D5" s="12" t="n">
        <f aca="false">'Supplier Data'!G5</f>
        <v>0.6</v>
      </c>
      <c r="E5" s="11" t="n">
        <f aca="false">0.6*C5+0.4*D5*100</f>
        <v>56.9764021887825</v>
      </c>
      <c r="F5" s="10" t="str">
        <f aca="false">IF(E5&gt;=75,"Preferred",IF(E5&gt;=60,"Acceptable","Review"))</f>
        <v>Review</v>
      </c>
    </row>
    <row r="6" customFormat="false" ht="15" hidden="false" customHeight="false" outlineLevel="0" collapsed="false">
      <c r="A6" s="10" t="str">
        <f aca="false">'Supplier Data'!A6</f>
        <v>Supplier Beta</v>
      </c>
      <c r="B6" s="10" t="str">
        <f aca="false">'Supplier Data'!B6</f>
        <v>Packaging &amp; accessories</v>
      </c>
      <c r="C6" s="11" t="n">
        <f aca="false">0.35*(1-('Supplier Data'!C6-MIN('Supplier Data'!$C$5:$C$8))/(MAX('Supplier Data'!$C$5:$C$8)-MIN('Supplier Data'!$C$5:$C$8)))*100+0.25*'Supplier Data'!D6*100+0.2*IF('Supplier Data'!E6="Yes",100,0)+0.2*(1-('Supplier Data'!F6-MIN('Supplier Data'!$F$5:$F$8))/(MAX('Supplier Data'!$F$5:$F$8)-MIN('Supplier Data'!$F$5:$F$8)))*100</f>
        <v>91.25</v>
      </c>
      <c r="D6" s="12" t="n">
        <f aca="false">'Supplier Data'!G6</f>
        <v>0.8</v>
      </c>
      <c r="E6" s="11" t="n">
        <f aca="false">0.6*C6+0.4*D6*100</f>
        <v>86.75</v>
      </c>
      <c r="F6" s="10" t="str">
        <f aca="false">IF(E6&gt;=75,"Preferred",IF(E6&gt;=60,"Acceptable","Review"))</f>
        <v>Preferred</v>
      </c>
    </row>
    <row r="7" customFormat="false" ht="15" hidden="false" customHeight="false" outlineLevel="0" collapsed="false">
      <c r="A7" s="10" t="str">
        <f aca="false">'Supplier Data'!A7</f>
        <v>Supplier Gamma</v>
      </c>
      <c r="B7" s="10" t="str">
        <f aca="false">'Supplier Data'!B7</f>
        <v>Cables &amp; connectors</v>
      </c>
      <c r="C7" s="11" t="n">
        <f aca="false">0.35*(1-('Supplier Data'!C7-MIN('Supplier Data'!$C$5:$C$8))/(MAX('Supplier Data'!$C$5:$C$8)-MIN('Supplier Data'!$C$5:$C$8)))*100+0.25*'Supplier Data'!D7*100+0.2*IF('Supplier Data'!E7="Yes",100,0)+0.2*(1-('Supplier Data'!F7-MIN('Supplier Data'!$F$5:$F$8))/(MAX('Supplier Data'!$F$5:$F$8)-MIN('Supplier Data'!$F$5:$F$8)))*100</f>
        <v>5</v>
      </c>
      <c r="D7" s="12" t="n">
        <f aca="false">'Supplier Data'!G7</f>
        <v>0.6</v>
      </c>
      <c r="E7" s="11" t="n">
        <f aca="false">0.6*C7+0.4*D7*100</f>
        <v>27</v>
      </c>
      <c r="F7" s="10" t="str">
        <f aca="false">IF(E7&gt;=75,"Preferred",IF(E7&gt;=60,"Acceptable","Review"))</f>
        <v>Review</v>
      </c>
    </row>
    <row r="8" customFormat="false" ht="15" hidden="false" customHeight="false" outlineLevel="0" collapsed="false">
      <c r="A8" s="10" t="str">
        <f aca="false">'Supplier Data'!A8</f>
        <v>Supplier Delta</v>
      </c>
      <c r="B8" s="10" t="str">
        <f aca="false">'Supplier Data'!B8</f>
        <v>Hardware &amp; fittings</v>
      </c>
      <c r="C8" s="11" t="n">
        <f aca="false">0.35*(1-('Supplier Data'!C8-MIN('Supplier Data'!$C$5:$C$8))/(MAX('Supplier Data'!$C$5:$C$8)-MIN('Supplier Data'!$C$5:$C$8)))*100+0.25*'Supplier Data'!D8*100+0.2*IF('Supplier Data'!E8="Yes",100,0)+0.2*(1-('Supplier Data'!F8-MIN('Supplier Data'!$F$5:$F$8))/(MAX('Supplier Data'!$F$5:$F$8)-MIN('Supplier Data'!$F$5:$F$8)))*100</f>
        <v>77.3580711354309</v>
      </c>
      <c r="D8" s="12" t="n">
        <f aca="false">'Supplier Data'!G8</f>
        <v>0.8</v>
      </c>
      <c r="E8" s="11" t="n">
        <f aca="false">0.6*C8+0.4*D8*100</f>
        <v>78.4148426812586</v>
      </c>
      <c r="F8" s="10" t="str">
        <f aca="false">IF(E8&gt;=75,"Preferred",IF(E8&gt;=60,"Acceptable","Review"))</f>
        <v>Preferred</v>
      </c>
    </row>
    <row r="10" customFormat="false" ht="30" hidden="false" customHeight="true" outlineLevel="0" collapsed="false">
      <c r="A10" s="13" t="s">
        <v>53</v>
      </c>
      <c r="B10" s="13"/>
      <c r="C10" s="13"/>
      <c r="D10" s="13"/>
      <c r="E10" s="13"/>
      <c r="F10" s="13"/>
    </row>
  </sheetData>
  <mergeCells count="1">
    <mergeCell ref="A10:F10"/>
  </mergeCells>
  <conditionalFormatting sqref="F5:F8">
    <cfRule type="cellIs" priority="2" operator="equal" aboveAverage="0" equalAverage="0" bottom="0" percent="0" rank="0" text="" dxfId="0">
      <formula>"Preferred"</formula>
    </cfRule>
    <cfRule type="cellIs" priority="3" operator="equal" aboveAverage="0" equalAverage="0" bottom="0" percent="0" rank="0" text="" dxfId="1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2026-09-27T14:55:35Z</dcterms:created>
  <dc:creator>openpyxl</dc:creator>
  <dc:description/>
  <dc:language>en-US</dc:language>
  <cp:lastModifiedBy/>
  <dcterms:modified xsi:type="dcterms:W3CDTF">2026-09-27T14:55:35Z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